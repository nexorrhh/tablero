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 state="visible" name="Tabla dinámica" sheetId="2" r:id="rId6"/>
    <sheet state="visible" name="Hoja 1" sheetId="3" r:id="rId7"/>
  </sheets>
  <definedNames/>
  <calcPr/>
  <pivotCaches>
    <pivotCache cacheId="0" r:id="rId8"/>
  </pivotCaches>
</workbook>
</file>

<file path=xl/sharedStrings.xml><?xml version="1.0" encoding="utf-8"?>
<sst xmlns="http://schemas.openxmlformats.org/spreadsheetml/2006/main" count="266" uniqueCount="128">
  <si>
    <t>Marca temporal</t>
  </si>
  <si>
    <t>Dirección de correo electrónico</t>
  </si>
  <si>
    <t>Nombre y Apellido</t>
  </si>
  <si>
    <t>D.N.I</t>
  </si>
  <si>
    <t xml:space="preserve">Fecha de la ausencia </t>
  </si>
  <si>
    <t>Motivo de ausencia</t>
  </si>
  <si>
    <t>Puntuación</t>
  </si>
  <si>
    <t>Aprobado?</t>
  </si>
  <si>
    <t>Ingresado por?</t>
  </si>
  <si>
    <t>Nicolas Pura Nosti</t>
  </si>
  <si>
    <t>RRHH</t>
  </si>
  <si>
    <t>mantenimiento.cimomet@gmail.com</t>
  </si>
  <si>
    <t>Luis Cantini</t>
  </si>
  <si>
    <t xml:space="preserve">Viaje </t>
  </si>
  <si>
    <t>herrerafdh@gmail.com</t>
  </si>
  <si>
    <t>Facundo Herrera</t>
  </si>
  <si>
    <t xml:space="preserve">RENDIR EXAMEN FINAL </t>
  </si>
  <si>
    <t>cimo7473@gmail.com</t>
  </si>
  <si>
    <t>Reposo 48hs</t>
  </si>
  <si>
    <t>ingbaldoni@gmail.com</t>
  </si>
  <si>
    <t>Sebastián Baldoni</t>
  </si>
  <si>
    <t>Viaje Familiar</t>
  </si>
  <si>
    <t>casolaeugenio@gmail.com</t>
  </si>
  <si>
    <t>Eugenio Casola</t>
  </si>
  <si>
    <t>Asuntos personales</t>
  </si>
  <si>
    <t>calidadcimo@gmail.com</t>
  </si>
  <si>
    <t>Enfermedad</t>
  </si>
  <si>
    <t>cimometpresupuestos@gmail.com</t>
  </si>
  <si>
    <t>Tomas Nasif</t>
  </si>
  <si>
    <t>El próximo viernes 2 de mayo debo presentarme ante la escribanía en la ciudad de San Nicolas de los Arroyos a las 10.30 am para firmar unos documentos. Debido a las distancias entre este lugar y la empresa, y el no contar con movilidad propia, se habló de la posibilidad de no perder este día laboral con la opción de trabajar remotamente, ya sea con mi computadora personal o con una de las notebooks de la empresa.</t>
  </si>
  <si>
    <t>Marcos Amado</t>
  </si>
  <si>
    <t>Luto</t>
  </si>
  <si>
    <t>Lucas Bolzon</t>
  </si>
  <si>
    <t>deniselee1997@gmail.com</t>
  </si>
  <si>
    <t>Dejo constancia que el Sr Bolzón Lucas DNI NRO 40038404 ha recibido atención médica en el día de la fecha por presentar un cuadro de cefalea por lo que sí debe permanecer en reposo por 24 hs. Para ser presentado ante quien corresponda, se extiende la presente en Rosario a los 13 días del mes 04 del año 2025</t>
  </si>
  <si>
    <t>marcobianchi158@gmail.com</t>
  </si>
  <si>
    <t>Marco Bianchi</t>
  </si>
  <si>
    <t>tenacri@gmail.com</t>
  </si>
  <si>
    <t>Ariel Morales</t>
  </si>
  <si>
    <t>ENFERMEDAD</t>
  </si>
  <si>
    <t>cimometingenieria@gmail.com</t>
  </si>
  <si>
    <t>Examen de carnet náutico</t>
  </si>
  <si>
    <t>puranostin@gmail.com</t>
  </si>
  <si>
    <t>Enfermedad / turno medico</t>
  </si>
  <si>
    <t xml:space="preserve">NECESITO HACER UN VIAJE ESA FECHA </t>
  </si>
  <si>
    <t>pedrocueto2000@gmail.com</t>
  </si>
  <si>
    <t>Pedro Cueto</t>
  </si>
  <si>
    <t xml:space="preserve">Vomitos, descompuesto </t>
  </si>
  <si>
    <t>Vomitos,descumpuesto,fiebre</t>
  </si>
  <si>
    <t>carlitospuza@gmail.com</t>
  </si>
  <si>
    <t>Carlos Puzzangara</t>
  </si>
  <si>
    <t xml:space="preserve">Operación de mi señora </t>
  </si>
  <si>
    <t>yavaytu79@gmail.com</t>
  </si>
  <si>
    <t>Yamil Barbara</t>
  </si>
  <si>
    <t>EXÁMEN PARCIAL DE FACULTAD</t>
  </si>
  <si>
    <t xml:space="preserve">Enfermedad </t>
  </si>
  <si>
    <t>tomas.mnasif@gmail.com</t>
  </si>
  <si>
    <t xml:space="preserve">Viaje a Buenos Aires por unos trámites </t>
  </si>
  <si>
    <t>PARCIAL UNIVERSITARIO</t>
  </si>
  <si>
    <t xml:space="preserve">Eugenio Casola </t>
  </si>
  <si>
    <t>PARCIAL PARA FACULTAD</t>
  </si>
  <si>
    <t>Viaje</t>
  </si>
  <si>
    <t>DIA POR ESTUDIO</t>
  </si>
  <si>
    <t>Turno Consulado Español de Buenos Aires</t>
  </si>
  <si>
    <t>11/25/0025</t>
  </si>
  <si>
    <t xml:space="preserve">Turno médico </t>
  </si>
  <si>
    <t>marcosdavid.amado@gmail.com</t>
  </si>
  <si>
    <t>Familiar</t>
  </si>
  <si>
    <t>lallanaleo7@gmail.com</t>
  </si>
  <si>
    <t>Leonardo Lallana</t>
  </si>
  <si>
    <t>Enfermo</t>
  </si>
  <si>
    <t>ENFERMO</t>
  </si>
  <si>
    <t>facu.sanche477@gmail.com</t>
  </si>
  <si>
    <t>Facundo sanchez</t>
  </si>
  <si>
    <t xml:space="preserve">Operación apendicitis </t>
  </si>
  <si>
    <t xml:space="preserve">15 días de reposo </t>
  </si>
  <si>
    <t xml:space="preserve">Ariel Morales </t>
  </si>
  <si>
    <t>viaje .</t>
  </si>
  <si>
    <t>Yamil Barbará</t>
  </si>
  <si>
    <t>ESTUDIO MÉDICO</t>
  </si>
  <si>
    <t>valentinlagar8@gmail.com</t>
  </si>
  <si>
    <t>Valentin Lagar</t>
  </si>
  <si>
    <t>milenkodelgado@gmail.com</t>
  </si>
  <si>
    <t>Milenko Delgado Aranibar</t>
  </si>
  <si>
    <t>Salud</t>
  </si>
  <si>
    <t>valentineangulo@icloud.com</t>
  </si>
  <si>
    <t>Valentin Angulo</t>
  </si>
  <si>
    <t xml:space="preserve">Operación </t>
  </si>
  <si>
    <t>Recursoshumanos@cimomet.com.ar</t>
  </si>
  <si>
    <t>De Battista , Miguel Angel</t>
  </si>
  <si>
    <t>Desperfecto en instalacion electrica de su casa</t>
  </si>
  <si>
    <t>castellanojuank@gmail.com</t>
  </si>
  <si>
    <t xml:space="preserve">Juan Carlos Castellano </t>
  </si>
  <si>
    <t>Esposa internada</t>
  </si>
  <si>
    <t>juan carlos castellano</t>
  </si>
  <si>
    <t>esposa internada</t>
  </si>
  <si>
    <t>luis_cantini@hotmail.com</t>
  </si>
  <si>
    <t>Tramites Personales</t>
  </si>
  <si>
    <t>FUERTE MIGRAÑA</t>
  </si>
  <si>
    <t>Aviso de enfermedad</t>
  </si>
  <si>
    <t>carlospuzzangara@yahoo.com.ar</t>
  </si>
  <si>
    <t>Enfermedad familiar</t>
  </si>
  <si>
    <t>Intervención quirurgica. Reintegro presencial 13/04</t>
  </si>
  <si>
    <t>Intervencion quirurgica</t>
  </si>
  <si>
    <t>Operacion Quirurgica</t>
  </si>
  <si>
    <t>luciomastro12@gmail.com</t>
  </si>
  <si>
    <t>Pablo Ferreyra Gomez</t>
  </si>
  <si>
    <t>Problemas personales</t>
  </si>
  <si>
    <t>TRÁMITES MÉDICOS</t>
  </si>
  <si>
    <t>operacion quirugica</t>
  </si>
  <si>
    <t>cristian.olmos@cimoemt.com.ar</t>
  </si>
  <si>
    <t>PABLO FEREIRA</t>
  </si>
  <si>
    <t>PERMISO DIA- LIBRE POR NO GOZAR VACACIONES</t>
  </si>
  <si>
    <t>arielhmorales@yahoo.com.ar</t>
  </si>
  <si>
    <t>Tramites personales</t>
  </si>
  <si>
    <t xml:space="preserve">Reposo de 7 días por bronquitis y sinusitis </t>
  </si>
  <si>
    <t>NICOLAS PURA NOSTI</t>
  </si>
  <si>
    <t>AVISO DE ENFERMEDAD</t>
  </si>
  <si>
    <t xml:space="preserve">PABLO FERREIRA </t>
  </si>
  <si>
    <t xml:space="preserve">AVISO DE ENFERMEDAD </t>
  </si>
  <si>
    <t>Me encuentro engripado, congestionado y con tos.</t>
  </si>
  <si>
    <t>Gripe.</t>
  </si>
  <si>
    <t>herrera_fhd@hotmail.com</t>
  </si>
  <si>
    <t>Turno Medico</t>
  </si>
  <si>
    <t>COUNTA de Ingresado por?</t>
  </si>
  <si>
    <t>Empleado</t>
  </si>
  <si>
    <t>Suma total</t>
  </si>
  <si>
    <t>Tendencia de carga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</si>
</sst>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dd-mm-yyyy"/>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14" xfId="0" applyAlignment="1" applyFont="1" applyNumberFormat="1">
      <alignment horizontal="center"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2" numFmtId="165"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14" xfId="0" applyAlignment="1" applyFont="1" applyNumberFormat="1">
      <alignment horizontal="center"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center" readingOrder="0" shrinkToFit="0" vertical="center" wrapText="0"/>
    </xf>
    <xf borderId="0" fillId="0" fontId="2" numFmtId="14" xfId="0" applyAlignment="1" applyFont="1" applyNumberFormat="1">
      <alignment readingOrder="0" shrinkToFit="0" vertical="center" wrapText="0"/>
    </xf>
    <xf borderId="0" fillId="0" fontId="2" numFmtId="0" xfId="0" applyAlignment="1" applyFont="1">
      <alignment shrinkToFit="0" vertical="center" wrapText="0"/>
    </xf>
    <xf borderId="0" fillId="0" fontId="2" numFmtId="0" xfId="0" applyFont="1"/>
    <xf borderId="0" fillId="0" fontId="2" numFmtId="0" xfId="0" applyAlignment="1" applyFont="1">
      <alignment horizontal="center"/>
    </xf>
    <xf borderId="0" fillId="0" fontId="2" numFmtId="0" xfId="0" applyFont="1"/>
    <xf borderId="0" fillId="0" fontId="2"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'Tabla dinámica'!$C$1:$C$3</c:f>
            </c:strRef>
          </c:tx>
          <c:spPr>
            <a:solidFill>
              <a:schemeClr val="accent1"/>
            </a:solidFill>
            <a:ln cmpd="sng">
              <a:noFill/>
            </a:ln>
          </c:spPr>
          <c:cat>
            <c:strRef>
              <c:f>'Tabla dinámica'!$A$4:$A$1000</c:f>
            </c:strRef>
          </c:cat>
          <c:val>
            <c:numRef>
              <c:f>'Tabla dinámica'!$C$4:$C$1000</c:f>
              <c:numCache/>
            </c:numRef>
          </c:val>
        </c:ser>
        <c:ser>
          <c:idx val="1"/>
          <c:order val="1"/>
          <c:tx>
            <c:strRef>
              <c:f>'Tabla dinámica'!$D$1:$D$3</c:f>
            </c:strRef>
          </c:tx>
          <c:spPr>
            <a:solidFill>
              <a:schemeClr val="accent2"/>
            </a:solidFill>
            <a:ln cmpd="sng">
              <a:noFill/>
            </a:ln>
          </c:spPr>
          <c:cat>
            <c:strRef>
              <c:f>'Tabla dinámica'!$A$4:$A$1000</c:f>
            </c:strRef>
          </c:cat>
          <c:val>
            <c:numRef>
              <c:f>'Tabla dinámica'!$D$4:$D$1000</c:f>
              <c:numCache/>
            </c:numRef>
          </c:val>
        </c:ser>
        <c:axId val="670453067"/>
        <c:axId val="1706481144"/>
      </c:barChart>
      <c:catAx>
        <c:axId val="6704530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06481144"/>
      </c:catAx>
      <c:valAx>
        <c:axId val="17064811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7045306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sans-serif"/>
              </a:defRPr>
            </a:pPr>
            <a:r>
              <a:rPr b="1">
                <a:solidFill>
                  <a:srgbClr val="000000"/>
                </a:solidFill>
                <a:latin typeface="sans-serif"/>
              </a:rPr>
              <a:t>Tendencia de carga</a:t>
            </a:r>
          </a:p>
        </c:rich>
      </c:tx>
      <c:overlay val="0"/>
    </c:title>
    <c:plotArea>
      <c:layout/>
      <c:pieChart>
        <c:varyColors val="1"/>
        <c:ser>
          <c:idx val="0"/>
          <c:order val="0"/>
          <c:tx>
            <c:strRef>
              <c:f>'Tabla dinámica'!$H$21</c:f>
            </c:strRef>
          </c:tx>
          <c:dPt>
            <c:idx val="0"/>
            <c:spPr>
              <a:solidFill>
                <a:srgbClr val="4285F4"/>
              </a:solidFill>
              <a:ln cmpd="sng" w="9525">
                <a:solidFill>
                  <a:srgbClr val="000000"/>
                </a:solidFill>
              </a:ln>
            </c:spPr>
          </c:dPt>
          <c:dPt>
            <c:idx val="1"/>
            <c:spPr>
              <a:solidFill>
                <a:srgbClr val="EA4335"/>
              </a:solidFill>
              <a:ln cmpd="sng" w="9525">
                <a:solidFill>
                  <a:srgbClr val="000000"/>
                </a:solidFill>
              </a:ln>
            </c:spPr>
          </c:dPt>
          <c:dLbls>
            <c:showLegendKey val="0"/>
            <c:showVal val="0"/>
            <c:showCatName val="0"/>
            <c:showSerName val="0"/>
            <c:showPercent val="0"/>
            <c:showBubbleSize val="0"/>
            <c:showLeaderLines val="1"/>
          </c:dLbls>
          <c:cat>
            <c:strRef>
              <c:f>'Tabla dinámica'!$G$22:$G$23</c:f>
            </c:strRef>
          </c:cat>
          <c:val>
            <c:numRef>
              <c:f>'Tabla dinámica'!$H$22:$H$23</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a:solidFill>
                <a:srgbClr val="1A1A1A"/>
              </a:solidFill>
              <a:latin typeface="Arial"/>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Chart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247650</xdr:colOff>
      <xdr:row>0</xdr:row>
      <xdr:rowOff>9525</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28575</xdr:colOff>
      <xdr:row>24</xdr:row>
      <xdr:rowOff>28575</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715000" cy="3533775"/>
    <xdr:pic>
      <xdr:nvPicPr>
        <xdr:cNvPr id="1435739224" name="Chart3"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177" sheet="Respuestas de formulario 1"/>
  </cacheSource>
  <cacheFields>
    <cacheField name="Marca temporal" numFmtId="0">
      <sharedItems containsDate="1" containsString="0" containsBlank="1">
        <m/>
        <d v="2025-02-11T11:41:11Z"/>
        <d v="2025-02-11T16:46:53Z"/>
        <d v="2025-03-20T00:00:00Z"/>
        <d v="2025-04-06T09:22:13Z"/>
        <d v="2025-04-09T21:52:12Z"/>
        <d v="2025-04-21T11:12:59Z"/>
        <d v="2025-04-21T11:13:20Z"/>
        <d v="2025-04-30T10:32:28Z"/>
        <d v="2025-05-15T02:09:32Z"/>
        <d v="2025-05-19T13:46:22Z"/>
        <d v="2025-06-09T10:16:39Z"/>
        <d v="2025-06-26T15:58:31Z"/>
        <d v="2025-06-27T10:48:37Z"/>
        <d v="2025-08-11T16:53:07Z"/>
        <d v="2025-08-18T07:32:00Z"/>
        <d v="2025-08-19T07:16:20Z"/>
        <d v="2025-08-20T08:55:32Z"/>
        <d v="2025-08-27T13:49:42Z"/>
        <d v="2025-08-29T13:26:16Z"/>
        <d v="2025-10-03T13:50:49Z"/>
        <d v="2025-10-07T10:29:30Z"/>
        <d v="2025-10-22T07:27:37Z"/>
        <d v="2025-10-29T13:38:30Z"/>
        <d v="2025-10-30T12:19:23Z"/>
        <d v="2025-11-07T15:00:19Z"/>
        <d v="2025-11-10T07:59:09Z"/>
        <d v="2025-11-10T08:00:08Z"/>
        <d v="2025-11-26T09:21:36Z"/>
        <d v="2025-11-27T10:25:49Z"/>
        <d v="2025-11-28T08:51:04Z"/>
        <d v="2025-12-01T07:35:10Z"/>
        <d v="2025-12-04T10:33:09Z"/>
        <d v="2025-12-04T10:33:36Z"/>
        <d v="2025-12-10T08:44:49Z"/>
        <d v="2025-12-10T09:45:24Z"/>
        <d v="2025-12-29T08:18:01Z"/>
        <d v="2025-12-29T15:10:50Z"/>
        <d v="2026-01-23T07:19:21Z"/>
        <d v="2026-01-26T07:48:59Z"/>
        <d v="2026-02-03T07:49:12Z"/>
        <d v="2026-02-12T09:14:52Z"/>
        <d v="2026-02-19T08:40:08Z"/>
        <d v="2026-03-09T06:13:42Z"/>
        <d v="2026-03-11T12:21:27Z"/>
        <d v="2026-03-12T08:31:02Z"/>
        <d v="2026-03-13T09:29:31Z"/>
        <d v="2026-03-16T11:38:09Z"/>
        <d v="2026-03-25T08:08:00Z"/>
        <d v="2026-03-26T10:29:45Z"/>
        <d v="2026-04-06T14:08:33Z"/>
        <d v="2026-04-07T07:51:57Z"/>
        <d v="2026-04-09T12:47:48Z"/>
        <d v="2026-04-10T08:21:06Z"/>
        <d v="2026-04-13T08:09:09Z"/>
        <d v="2026-04-13T13:09:08Z"/>
        <d v="2026-04-14T11:46:02Z"/>
        <d v="2026-04-15T09:13:32Z"/>
        <d v="2026-04-17T16:16:44Z"/>
        <d v="2026-04-23T08:09:24Z"/>
        <d v="2026-05-08T08:55:03Z"/>
        <d v="2026-05-19T09:29:18Z"/>
        <d v="2026-05-20T08:15:47Z"/>
        <d v="2026-05-20T10:42:44Z"/>
        <d v="2026-05-20T21:03:13Z"/>
        <d v="2026-06-12T08:45:02Z"/>
        <d v="2026-06-22T08:15:19Z"/>
        <d v="2026-06-23T08:11:13Z"/>
      </sharedItems>
    </cacheField>
    <cacheField name="Dirección de correo electrónico" numFmtId="0">
      <sharedItems containsBlank="1">
        <m/>
        <s v="mantenimiento.cimomet@gmail.com"/>
        <s v="herrerafdh@gmail.com"/>
        <s v="cimo7473@gmail.com"/>
        <s v="ingbaldoni@gmail.com"/>
        <s v="casolaeugenio@gmail.com"/>
        <s v="calidadcimo@gmail.com"/>
        <s v="cimometpresupuestos@gmail.com"/>
        <s v="deniselee1997@gmail.com"/>
        <s v="marcobianchi158@gmail.com"/>
        <s v="tenacri@gmail.com"/>
        <s v="cimometingenieria@gmail.com"/>
        <s v="puranostin@gmail.com"/>
        <s v="pedrocueto2000@gmail.com"/>
        <s v="carlitospuza@gmail.com"/>
        <s v="yavaytu79@gmail.com"/>
        <s v="tomas.mnasif@gmail.com"/>
        <s v="marcosdavid.amado@gmail.com"/>
        <s v="lallanaleo7@gmail.com"/>
        <s v="facu.sanche477@gmail.com"/>
        <s v="valentinlagar8@gmail.com"/>
        <s v="milenkodelgado@gmail.com"/>
        <s v="valentineangulo@icloud.com"/>
        <s v="Recursoshumanos@cimomet.com.ar"/>
        <s v="castellanojuank@gmail.com"/>
        <s v="luis_cantini@hotmail.com"/>
        <s v="carlospuzzangara@yahoo.com.ar"/>
        <s v="luciomastro12@gmail.com"/>
        <s v="cristian.olmos@cimoemt.com.ar"/>
        <s v="arielhmorales@yahoo.com.ar"/>
        <s v="herrera_fhd@hotmail.com"/>
      </sharedItems>
    </cacheField>
    <cacheField name="Nombre y Apellido" numFmtId="0">
      <sharedItems containsBlank="1">
        <s v="Nicolas Pura Nosti"/>
        <s v="Luis Cantini"/>
        <s v="Facundo Herrera"/>
        <s v="Sebastián Baldoni"/>
        <s v="Eugenio Casola"/>
        <s v="Tomas Nasif"/>
        <s v="Marcos Amado"/>
        <s v="Lucas Bolzon"/>
        <s v="Marco Bianchi"/>
        <s v="Ariel Morales"/>
        <s v="Pedro Cueto"/>
        <s v="Carlos Puzzangara"/>
        <s v="Yamil Barbara"/>
        <s v="Eugenio Casola "/>
        <s v="Leonardo Lallana"/>
        <s v="Facundo sanchez"/>
        <s v="Ariel Morales "/>
        <s v="Yamil Barbará"/>
        <s v="Valentin Lagar"/>
        <s v="Milenko Delgado Aranibar"/>
        <s v="Valentin Angulo"/>
        <s v="De Battista , Miguel Angel"/>
        <s v="Juan Carlos Castellano "/>
        <s v="juan carlos castellano"/>
        <s v="Pablo Ferreyra Gomez"/>
        <s v="PABLO FEREIRA"/>
        <s v="PABLO FERREIRA "/>
        <m/>
      </sharedItems>
    </cacheField>
    <cacheField name="D.N.I" numFmtId="0">
      <sharedItems containsString="0" containsBlank="1" containsNumber="1" containsInteger="1">
        <n v="4.160512E7"/>
        <n v="1.3169751E7"/>
        <n v="3.7335591E7"/>
        <n v="2.6979244E7"/>
        <n v="3.49378E7"/>
        <n v="4.1698806E7"/>
        <m/>
        <n v="4.0038405E7"/>
        <n v="4.1056158E7"/>
        <n v="1.4143459E7"/>
        <n v="4.2768773E7"/>
        <n v="1.6155891E7"/>
        <n v="4.316555E7"/>
        <n v="2.7163956E7"/>
        <n v="2.7334678E7"/>
        <n v="4.4777082E7"/>
        <n v="4.1312361E7"/>
        <n v="1.9021134E7"/>
        <n v="4.3580656E7"/>
        <n v="1.6301882E7"/>
        <n v="2.8389105E7"/>
        <n v="3.687992E7"/>
        <n v="4316550.0"/>
      </sharedItems>
    </cacheField>
    <cacheField name="Fecha de la ausencia ">
      <sharedItems containsDate="1" containsString="0" containsBlank="1" containsMixedTypes="1">
        <d v="2025-01-21T00:00:00Z"/>
        <d v="2025-04-17T00:00:00Z"/>
        <d v="2025-02-13T00:00:00Z"/>
        <d v="2025-03-10T00:00:00Z"/>
        <d v="2025-03-19T00:00:00Z"/>
        <d v="2025-03-20T00:00:00Z"/>
        <d v="2025-04-11T00:00:00Z"/>
        <d v="2025-04-16T00:00:00Z"/>
        <d v="2025-05-02T00:00:00Z"/>
        <d v="2025-06-13T00:00:00Z"/>
        <d v="2025-05-13T00:00:00Z"/>
        <d v="2025-05-14T00:00:00Z"/>
        <d v="2025-05-19T00:00:00Z"/>
        <d v="2025-06-09T00:00:00Z"/>
        <d v="2025-06-10T00:00:00Z"/>
        <d v="2025-06-17T00:00:00Z"/>
        <d v="2025-07-02T00:00:00Z"/>
        <d v="2025-06-26T00:00:00Z"/>
        <d v="2025-06-27T00:00:00Z"/>
        <d v="2025-08-15T00:00:00Z"/>
        <d v="2000-08-18T00:00:00Z"/>
        <d v="2025-08-19T00:00:00Z"/>
        <d v="2025-08-22T00:00:00Z"/>
        <d v="2025-08-28T00:00:00Z"/>
        <d v="2025-08-29T00:00:00Z"/>
        <d v="2025-10-06T00:00:00Z"/>
        <d v="2025-10-08T00:00:00Z"/>
        <d v="2025-10-22T00:00:00Z"/>
        <d v="2025-10-30T00:00:00Z"/>
        <d v="2025-10-27T00:00:00Z"/>
        <d v="2025-11-25T00:00:00Z"/>
        <d v="2025-11-13T00:00:00Z"/>
        <d v="2025-11-14T00:00:00Z"/>
        <d v="2025-11-28T00:00:00Z"/>
        <n v="-684499.0"/>
        <d v="2025-12-05T00:00:00Z"/>
        <d v="2025-12-01T00:00:00Z"/>
        <d v="2025-12-03T00:00:00Z"/>
        <d v="2025-12-04T00:00:00Z"/>
        <d v="2025-12-11T00:00:00Z"/>
        <d v="2025-12-10T00:00:00Z"/>
        <d v="2026-01-02T00:00:00Z"/>
        <d v="2025-12-31T00:00:00Z"/>
        <d v="2026-01-27T00:00:00Z"/>
        <d v="2026-01-26T00:00:00Z"/>
        <d v="2026-02-03T00:00:00Z"/>
        <d v="2026-02-13T00:00:00Z"/>
        <d v="2026-02-19T00:00:00Z"/>
        <d v="2026-03-09T00:00:00Z"/>
        <d v="2026-03-10T00:00:00Z"/>
        <d v="2026-03-13T00:00:00Z"/>
        <d v="2026-03-12T00:00:00Z"/>
        <d v="2026-03-16T00:00:00Z"/>
        <d v="2026-03-25T00:00:00Z"/>
        <d v="2026-04-06T00:00:00Z"/>
        <d v="2026-04-07T00:00:00Z"/>
        <d v="2026-04-09T00:00:00Z"/>
        <d v="2026-04-10T00:00:00Z"/>
        <d v="2026-04-13T00:00:00Z"/>
        <d v="2026-04-14T00:00:00Z"/>
        <d v="2026-04-15T00:00:00Z"/>
        <d v="2026-04-20T00:00:00Z"/>
        <d v="2026-04-23T00:00:00Z"/>
        <d v="2026-05-07T00:00:00Z"/>
        <d v="2026-05-19T00:00:00Z"/>
        <d v="2026-05-20T00:00:00Z"/>
        <d v="2026-05-21T00:00:00Z"/>
        <d v="2026-06-11T00:00:00Z"/>
        <d v="2026-06-22T00:00:00Z"/>
        <d v="2026-06-25T00:00:00Z"/>
        <m/>
      </sharedItems>
    </cacheField>
    <cacheField name="Motivo de ausencia" numFmtId="0">
      <sharedItems containsBlank="1">
        <m/>
        <s v="Viaje "/>
        <s v="RENDIR EXAMEN FINAL "/>
        <s v="Reposo 48hs"/>
        <s v="Viaje Familiar"/>
        <s v="Asuntos personales"/>
        <s v="Enfermedad"/>
        <s v="El próximo viernes 2 de mayo debo presentarme ante la escribanía en la ciudad de San Nicolas de los Arroyos a las 10.30 am para firmar unos documentos. Debido a las distancias entre este lugar y la empresa, y el no contar con movilidad propia, se habló de"/>
        <s v="Luto"/>
        <s v="Dejo constancia que el Sr Bolzón Lucas DNI NRO 40038404 ha recibido atención médica en el día de la fecha por presentar un cuadro de cefalea por lo que sí debe permanecer en reposo por 24 hs. Para ser presentado ante quien corresponda, se extiende la pres"/>
        <s v="Examen de carnet náutico"/>
        <s v="Enfermedad / turno medico"/>
        <s v="NECESITO HACER UN VIAJE ESA FECHA "/>
        <s v="Vomitos, descompuesto "/>
        <s v="Vomitos,descumpuesto,fiebre"/>
        <s v="Operación de mi señora "/>
        <s v="EXÁMEN PARCIAL DE FACULTAD"/>
        <s v="Enfermedad "/>
        <s v="Viaje a Buenos Aires por unos trámites "/>
        <s v="PARCIAL UNIVERSITARIO"/>
        <s v="PARCIAL PARA FACULTAD"/>
        <s v="Viaje"/>
        <s v="DIA POR ESTUDIO"/>
        <s v="Turno Consulado Español de Buenos Aires"/>
        <s v="Turno médico "/>
        <s v="Familiar"/>
        <s v="Enfermo"/>
        <s v="Operación apendicitis "/>
        <s v="15 días de reposo "/>
        <s v="viaje ."/>
        <s v="ESTUDIO MÉDICO"/>
        <s v="Salud"/>
        <s v="Operación "/>
        <s v="Desperfecto en instalacion electrica de su casa"/>
        <s v="Esposa internada"/>
        <s v="Tramites Personales"/>
        <s v="FUERTE MIGRAÑA"/>
        <s v="Aviso de enfermedad"/>
        <s v="Enfermedad familiar"/>
        <s v="Intervención quirurgica. Reintegro presencial 13/04"/>
        <s v="Intervencion quirurgica"/>
        <s v="Operacion Quirurgica"/>
        <s v="Problemas personales"/>
        <s v="TRÁMITES MÉDICOS"/>
        <s v="operacion quirugica"/>
        <s v="PERMISO DIA- LIBRE POR NO GOZAR VACACIONES"/>
        <s v="Reposo de 7 días por bronquitis y sinusitis "/>
        <s v="AVISO DE ENFERMEDAD "/>
        <s v="Me encuentro engripado, congestionado y con tos."/>
        <s v="Gripe."/>
        <s v="Turno Medico"/>
      </sharedItems>
    </cacheField>
    <cacheField name="Puntuación" numFmtId="0">
      <sharedItems containsString="0" containsBlank="1" containsNumber="1" containsInteger="1">
        <m/>
        <n v="0.0"/>
      </sharedItems>
    </cacheField>
    <cacheField name="Aprobado?" numFmtId="0">
      <sharedItems>
        <b v="0"/>
        <b v="1"/>
      </sharedItems>
    </cacheField>
    <cacheField name="Ingresado por?" numFmtId="0">
      <sharedItems containsBlank="1">
        <s v="RRHH"/>
        <s v="Empleado"/>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 dinámica" cacheId="0" dataCaption="" rowGrandTotals="0" compact="0" compactData="0">
  <location ref="A1:E30" firstHeaderRow="0" firstDataRow="1" firstDataCol="1"/>
  <pivotFields>
    <pivotField name="Marca tempor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name="Dirección de correo electrónic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Nombre y Apellido" axis="axisRow" compact="0" outline="0" multipleItemSelectionAllowed="1" showAll="0" sortType="ascending">
      <items>
        <item x="27"/>
        <item x="9"/>
        <item x="16"/>
        <item x="11"/>
        <item x="21"/>
        <item x="4"/>
        <item x="13"/>
        <item x="2"/>
        <item x="15"/>
        <item x="23"/>
        <item x="22"/>
        <item x="14"/>
        <item x="7"/>
        <item x="1"/>
        <item x="8"/>
        <item x="6"/>
        <item x="19"/>
        <item x="0"/>
        <item x="25"/>
        <item x="26"/>
        <item x="24"/>
        <item x="10"/>
        <item x="3"/>
        <item x="5"/>
        <item x="20"/>
        <item x="18"/>
        <item x="12"/>
        <item x="17"/>
        <item t="default"/>
      </items>
    </pivotField>
    <pivotField name="D.N.I"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Fecha de la ausencia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Motivo de ausenc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Puntuación" compact="0" outline="0" multipleItemSelectionAllowed="1" showAll="0">
      <items>
        <item x="0"/>
        <item x="1"/>
        <item t="default"/>
      </items>
    </pivotField>
    <pivotField name="Aprobado?" compact="0" outline="0" multipleItemSelectionAllowed="1" showAll="0">
      <items>
        <item x="0"/>
        <item x="1"/>
        <item t="default"/>
      </items>
    </pivotField>
    <pivotField name="Ingresado por?" axis="axisCol" dataField="1" compact="0" outline="0" multipleItemSelectionAllowed="1" showAll="0" sortType="ascending">
      <items>
        <item x="2"/>
        <item x="1"/>
        <item x="0"/>
        <item t="default"/>
      </items>
    </pivotField>
  </pivotFields>
  <rowFields>
    <field x="2"/>
  </rowFields>
  <colFields>
    <field x="8"/>
  </colFields>
  <dataFields>
    <dataField name="COUNTA of Ingresado por?" fld="8" subtotal="count" baseField="0"/>
  </dataFields>
</pivotTableDefinition>
</file>

<file path=xl/tables/table1.xml><?xml version="1.0" encoding="utf-8"?>
<table xmlns="http://schemas.openxmlformats.org/spreadsheetml/2006/main" ref="A1:I77" displayName="Form_Responses1" name="Form_Responses1" id="1">
  <tableColumns count="9">
    <tableColumn name="Marca temporal" id="1"/>
    <tableColumn name="Dirección de correo electrónico" id="2"/>
    <tableColumn name="Nombre y Apellido" id="3"/>
    <tableColumn name="D.N.I" id="4"/>
    <tableColumn name="Fecha de la ausencia " id="5"/>
    <tableColumn name="Motivo de ausencia" id="6"/>
    <tableColumn name="Puntuación" id="7"/>
    <tableColumn name="Aprobado?" id="8"/>
    <tableColumn name="Ingresado por?" id="9"/>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4.75"/>
    <col customWidth="1" min="3" max="3" width="22.5"/>
    <col customWidth="1" min="4" max="4" width="9.75"/>
    <col customWidth="1" min="5" max="5" width="15.38"/>
    <col customWidth="1" min="6" max="6" width="41.0"/>
    <col customWidth="1" hidden="1" min="7" max="7" width="69.5"/>
    <col customWidth="1" min="8" max="8" width="16.88"/>
    <col customWidth="1" min="9" max="13" width="18.88"/>
  </cols>
  <sheetData>
    <row r="1" ht="46.5" customHeight="1">
      <c r="A1" s="1" t="s">
        <v>0</v>
      </c>
      <c r="B1" s="2" t="s">
        <v>1</v>
      </c>
      <c r="C1" s="2" t="s">
        <v>2</v>
      </c>
      <c r="D1" s="2" t="s">
        <v>3</v>
      </c>
      <c r="E1" s="2" t="s">
        <v>4</v>
      </c>
      <c r="F1" s="2" t="s">
        <v>5</v>
      </c>
      <c r="G1" s="3" t="s">
        <v>6</v>
      </c>
      <c r="H1" s="2" t="s">
        <v>7</v>
      </c>
      <c r="I1" s="3" t="s">
        <v>8</v>
      </c>
    </row>
    <row r="2" ht="22.5" hidden="1" customHeight="1">
      <c r="A2" s="4"/>
      <c r="B2" s="5"/>
      <c r="C2" s="6" t="s">
        <v>9</v>
      </c>
      <c r="D2" s="5">
        <v>4.160512E7</v>
      </c>
      <c r="E2" s="7">
        <v>45678.0</v>
      </c>
      <c r="F2" s="5"/>
      <c r="G2" s="8"/>
      <c r="H2" s="9" t="b">
        <v>0</v>
      </c>
      <c r="I2" s="10" t="s">
        <v>10</v>
      </c>
    </row>
    <row r="3" ht="22.5" hidden="1" customHeight="1">
      <c r="A3" s="4">
        <v>45699.48694350694</v>
      </c>
      <c r="B3" s="5" t="s">
        <v>11</v>
      </c>
      <c r="C3" s="6" t="s">
        <v>12</v>
      </c>
      <c r="D3" s="5">
        <v>1.3169751E7</v>
      </c>
      <c r="E3" s="7">
        <v>45764.0</v>
      </c>
      <c r="F3" s="5" t="s">
        <v>13</v>
      </c>
      <c r="G3" s="8">
        <v>0.0</v>
      </c>
      <c r="H3" s="9" t="b">
        <v>0</v>
      </c>
      <c r="I3" s="11" t="str">
        <f t="shared" ref="I3:I4" si="1">IF(OR(B3="cimo7473@gmail.com", B3="recursoshumanos@cimomet.com.ar"), "RRHH", "Empleado")</f>
        <v>Empleado</v>
      </c>
    </row>
    <row r="4" ht="22.5" hidden="1" customHeight="1">
      <c r="A4" s="4">
        <v>45699.69922972222</v>
      </c>
      <c r="B4" s="5" t="s">
        <v>14</v>
      </c>
      <c r="C4" s="6" t="s">
        <v>15</v>
      </c>
      <c r="D4" s="5">
        <v>3.7335591E7</v>
      </c>
      <c r="E4" s="7">
        <v>45701.0</v>
      </c>
      <c r="F4" s="5" t="s">
        <v>16</v>
      </c>
      <c r="G4" s="8">
        <v>0.0</v>
      </c>
      <c r="H4" s="9" t="b">
        <v>0</v>
      </c>
      <c r="I4" s="12" t="str">
        <f t="shared" si="1"/>
        <v>Empleado</v>
      </c>
    </row>
    <row r="5" ht="22.5" hidden="1" customHeight="1">
      <c r="A5" s="4"/>
      <c r="B5" s="5"/>
      <c r="C5" s="6" t="s">
        <v>9</v>
      </c>
      <c r="D5" s="5">
        <v>4.160512E7</v>
      </c>
      <c r="E5" s="7">
        <v>45726.0</v>
      </c>
      <c r="F5" s="5"/>
      <c r="G5" s="8"/>
      <c r="H5" s="9" t="b">
        <v>0</v>
      </c>
      <c r="I5" s="10" t="s">
        <v>10</v>
      </c>
    </row>
    <row r="6" ht="22.5" hidden="1" customHeight="1">
      <c r="A6" s="13"/>
      <c r="B6" s="10"/>
      <c r="C6" s="14" t="s">
        <v>9</v>
      </c>
      <c r="D6" s="10">
        <v>4.160512E7</v>
      </c>
      <c r="E6" s="15">
        <v>45735.0</v>
      </c>
      <c r="F6" s="10"/>
      <c r="G6" s="16"/>
      <c r="H6" s="17" t="b">
        <v>0</v>
      </c>
      <c r="I6" s="10" t="s">
        <v>10</v>
      </c>
    </row>
    <row r="7" ht="22.5" hidden="1" customHeight="1">
      <c r="A7" s="13">
        <v>45736.0</v>
      </c>
      <c r="B7" s="10" t="s">
        <v>17</v>
      </c>
      <c r="C7" s="14" t="s">
        <v>9</v>
      </c>
      <c r="D7" s="10">
        <v>4.160512E7</v>
      </c>
      <c r="E7" s="15">
        <v>45736.0</v>
      </c>
      <c r="F7" s="10" t="s">
        <v>18</v>
      </c>
      <c r="G7" s="16"/>
      <c r="H7" s="17" t="b">
        <v>0</v>
      </c>
      <c r="I7" s="12" t="str">
        <f t="shared" ref="I7:I9" si="2">IF(OR(B7="cimo7473@gmail.com", B7="recursoshumanos@cimomet.com.ar"), "RRHH", "Empleado")</f>
        <v>RRHH</v>
      </c>
    </row>
    <row r="8" ht="22.5" hidden="1" customHeight="1">
      <c r="A8" s="4">
        <v>45753.390428495375</v>
      </c>
      <c r="B8" s="5" t="s">
        <v>19</v>
      </c>
      <c r="C8" s="6" t="s">
        <v>20</v>
      </c>
      <c r="D8" s="5">
        <v>2.6979244E7</v>
      </c>
      <c r="E8" s="7">
        <v>45764.0</v>
      </c>
      <c r="F8" s="5" t="s">
        <v>21</v>
      </c>
      <c r="G8" s="8">
        <v>0.0</v>
      </c>
      <c r="H8" s="9" t="b">
        <v>0</v>
      </c>
      <c r="I8" s="12" t="str">
        <f t="shared" si="2"/>
        <v>Empleado</v>
      </c>
    </row>
    <row r="9" ht="22.5" hidden="1" customHeight="1">
      <c r="A9" s="4">
        <v>45756.911254375</v>
      </c>
      <c r="B9" s="5" t="s">
        <v>22</v>
      </c>
      <c r="C9" s="6" t="s">
        <v>23</v>
      </c>
      <c r="D9" s="5">
        <v>3.49378E7</v>
      </c>
      <c r="E9" s="18">
        <v>45758.0</v>
      </c>
      <c r="F9" s="5" t="s">
        <v>24</v>
      </c>
      <c r="G9" s="8">
        <v>0.0</v>
      </c>
      <c r="H9" s="9" t="b">
        <v>0</v>
      </c>
      <c r="I9" s="12" t="str">
        <f t="shared" si="2"/>
        <v>Empleado</v>
      </c>
    </row>
    <row r="10" ht="22.5" hidden="1" customHeight="1">
      <c r="A10" s="4"/>
      <c r="B10" s="5"/>
      <c r="C10" s="6" t="s">
        <v>20</v>
      </c>
      <c r="D10" s="5">
        <v>2.6979244E7</v>
      </c>
      <c r="E10" s="18">
        <v>45764.0</v>
      </c>
      <c r="F10" s="5"/>
      <c r="G10" s="8"/>
      <c r="H10" s="9" t="b">
        <v>0</v>
      </c>
      <c r="I10" s="10" t="s">
        <v>10</v>
      </c>
    </row>
    <row r="11" ht="22.5" hidden="1" customHeight="1">
      <c r="A11" s="4">
        <v>45768.46735684028</v>
      </c>
      <c r="B11" s="5" t="s">
        <v>25</v>
      </c>
      <c r="C11" s="6" t="s">
        <v>9</v>
      </c>
      <c r="D11" s="5">
        <v>4.160512E7</v>
      </c>
      <c r="E11" s="18">
        <v>45763.0</v>
      </c>
      <c r="F11" s="5" t="s">
        <v>26</v>
      </c>
      <c r="G11" s="8">
        <v>0.0</v>
      </c>
      <c r="H11" s="9" t="b">
        <v>0</v>
      </c>
      <c r="I11" s="12" t="str">
        <f t="shared" ref="I11:I13" si="3">IF(OR(B11="cimo7473@gmail.com", B11="recursoshumanos@cimomet.com.ar"), "RRHH", "Empleado")</f>
        <v>Empleado</v>
      </c>
    </row>
    <row r="12" ht="22.5" hidden="1" customHeight="1">
      <c r="A12" s="4">
        <v>45768.46760217592</v>
      </c>
      <c r="B12" s="5" t="s">
        <v>25</v>
      </c>
      <c r="C12" s="6" t="s">
        <v>9</v>
      </c>
      <c r="D12" s="5">
        <v>4.160512E7</v>
      </c>
      <c r="E12" s="18">
        <v>45764.0</v>
      </c>
      <c r="F12" s="5" t="s">
        <v>26</v>
      </c>
      <c r="G12" s="8">
        <v>0.0</v>
      </c>
      <c r="H12" s="9" t="b">
        <v>0</v>
      </c>
      <c r="I12" s="11" t="str">
        <f t="shared" si="3"/>
        <v>Empleado</v>
      </c>
    </row>
    <row r="13" ht="22.5" hidden="1" customHeight="1">
      <c r="A13" s="4">
        <v>45777.43922</v>
      </c>
      <c r="B13" s="5" t="s">
        <v>27</v>
      </c>
      <c r="C13" s="6" t="s">
        <v>28</v>
      </c>
      <c r="D13" s="5">
        <v>4.1698806E7</v>
      </c>
      <c r="E13" s="18">
        <v>45779.0</v>
      </c>
      <c r="F13" s="5" t="s">
        <v>29</v>
      </c>
      <c r="G13" s="8">
        <v>0.0</v>
      </c>
      <c r="H13" s="9" t="b">
        <v>1</v>
      </c>
      <c r="I13" s="12" t="str">
        <f t="shared" si="3"/>
        <v>Empleado</v>
      </c>
    </row>
    <row r="14" ht="22.5" hidden="1" customHeight="1">
      <c r="A14" s="4"/>
      <c r="B14" s="5"/>
      <c r="C14" s="6" t="s">
        <v>30</v>
      </c>
      <c r="D14" s="5"/>
      <c r="E14" s="18">
        <v>45821.0</v>
      </c>
      <c r="F14" s="5" t="s">
        <v>31</v>
      </c>
      <c r="G14" s="8"/>
      <c r="H14" s="9" t="b">
        <v>0</v>
      </c>
      <c r="I14" s="10" t="s">
        <v>10</v>
      </c>
    </row>
    <row r="15" ht="22.5" hidden="1" customHeight="1">
      <c r="A15" s="4"/>
      <c r="B15" s="5"/>
      <c r="C15" s="6" t="s">
        <v>32</v>
      </c>
      <c r="D15" s="5">
        <v>4.0038405E7</v>
      </c>
      <c r="E15" s="18">
        <v>45790.0</v>
      </c>
      <c r="F15" s="5"/>
      <c r="G15" s="8"/>
      <c r="H15" s="9" t="b">
        <v>0</v>
      </c>
      <c r="I15" s="10" t="s">
        <v>10</v>
      </c>
    </row>
    <row r="16" ht="22.5" hidden="1" customHeight="1">
      <c r="A16" s="4">
        <v>45792.08995469907</v>
      </c>
      <c r="B16" s="5" t="s">
        <v>33</v>
      </c>
      <c r="C16" s="6" t="s">
        <v>32</v>
      </c>
      <c r="D16" s="5">
        <v>4.0038405E7</v>
      </c>
      <c r="E16" s="18">
        <v>45791.0</v>
      </c>
      <c r="F16" s="5" t="s">
        <v>34</v>
      </c>
      <c r="G16" s="8">
        <v>0.0</v>
      </c>
      <c r="H16" s="9" t="b">
        <v>1</v>
      </c>
      <c r="I16" s="12" t="str">
        <f t="shared" ref="I16:I18" si="4">IF(OR(B16="cimo7473@gmail.com", B16="recursoshumanos@cimomet.com.ar"), "RRHH", "Empleado")</f>
        <v>Empleado</v>
      </c>
    </row>
    <row r="17" ht="22.5" hidden="1" customHeight="1">
      <c r="A17" s="4">
        <v>45796.573874849535</v>
      </c>
      <c r="B17" s="5" t="s">
        <v>35</v>
      </c>
      <c r="C17" s="6" t="s">
        <v>36</v>
      </c>
      <c r="D17" s="5">
        <v>4.1056158E7</v>
      </c>
      <c r="E17" s="18">
        <v>45796.0</v>
      </c>
      <c r="F17" s="5" t="s">
        <v>26</v>
      </c>
      <c r="G17" s="8">
        <v>0.0</v>
      </c>
      <c r="H17" s="9" t="b">
        <v>1</v>
      </c>
      <c r="I17" s="12" t="str">
        <f t="shared" si="4"/>
        <v>Empleado</v>
      </c>
    </row>
    <row r="18" ht="22.5" hidden="1" customHeight="1">
      <c r="A18" s="4">
        <v>45817.42823318287</v>
      </c>
      <c r="B18" s="5" t="s">
        <v>37</v>
      </c>
      <c r="C18" s="6" t="s">
        <v>38</v>
      </c>
      <c r="D18" s="5">
        <v>1.4143459E7</v>
      </c>
      <c r="E18" s="18">
        <v>45817.0</v>
      </c>
      <c r="F18" s="5" t="s">
        <v>39</v>
      </c>
      <c r="G18" s="8">
        <v>0.0</v>
      </c>
      <c r="H18" s="9" t="b">
        <v>1</v>
      </c>
      <c r="I18" s="12" t="str">
        <f t="shared" si="4"/>
        <v>Empleado</v>
      </c>
    </row>
    <row r="19" ht="22.5" hidden="1" customHeight="1">
      <c r="A19" s="4"/>
      <c r="B19" s="5"/>
      <c r="C19" s="6" t="s">
        <v>38</v>
      </c>
      <c r="D19" s="5">
        <v>1.4143459E7</v>
      </c>
      <c r="E19" s="18">
        <v>45818.0</v>
      </c>
      <c r="F19" s="5"/>
      <c r="G19" s="8"/>
      <c r="H19" s="9" t="b">
        <v>0</v>
      </c>
      <c r="I19" s="10" t="s">
        <v>10</v>
      </c>
    </row>
    <row r="20" ht="22.5" hidden="1" customHeight="1">
      <c r="A20" s="4"/>
      <c r="B20" s="5"/>
      <c r="C20" s="6" t="s">
        <v>9</v>
      </c>
      <c r="D20" s="5">
        <v>4.160512E7</v>
      </c>
      <c r="E20" s="18">
        <v>45825.0</v>
      </c>
      <c r="F20" s="5"/>
      <c r="G20" s="8"/>
      <c r="H20" s="9" t="b">
        <v>0</v>
      </c>
      <c r="I20" s="10" t="s">
        <v>10</v>
      </c>
    </row>
    <row r="21" ht="22.5" hidden="1" customHeight="1">
      <c r="A21" s="4">
        <v>45834.665644872686</v>
      </c>
      <c r="B21" s="5" t="s">
        <v>40</v>
      </c>
      <c r="C21" s="6" t="s">
        <v>28</v>
      </c>
      <c r="D21" s="5">
        <v>4.1698806E7</v>
      </c>
      <c r="E21" s="18">
        <v>45840.0</v>
      </c>
      <c r="F21" s="5" t="s">
        <v>41</v>
      </c>
      <c r="G21" s="8">
        <v>0.0</v>
      </c>
      <c r="H21" s="9" t="b">
        <v>1</v>
      </c>
      <c r="I21" s="11" t="str">
        <f>IF(OR(B21="cimo7473@gmail.com", B21="recursoshumanos@cimomet.com.ar"), "RRHH", "Empleado")</f>
        <v>Empleado</v>
      </c>
    </row>
    <row r="22" ht="22.5" hidden="1" customHeight="1">
      <c r="A22" s="4"/>
      <c r="B22" s="5"/>
      <c r="C22" s="6" t="s">
        <v>9</v>
      </c>
      <c r="D22" s="5">
        <v>4.160512E7</v>
      </c>
      <c r="E22" s="18">
        <v>45834.0</v>
      </c>
      <c r="F22" s="5"/>
      <c r="G22" s="8"/>
      <c r="H22" s="9" t="b">
        <v>0</v>
      </c>
      <c r="I22" s="5" t="s">
        <v>10</v>
      </c>
    </row>
    <row r="23" ht="22.5" hidden="1" customHeight="1">
      <c r="A23" s="4">
        <v>45835.45043833333</v>
      </c>
      <c r="B23" s="5" t="s">
        <v>42</v>
      </c>
      <c r="C23" s="6" t="s">
        <v>9</v>
      </c>
      <c r="D23" s="5">
        <v>4.160512E7</v>
      </c>
      <c r="E23" s="18">
        <v>45835.0</v>
      </c>
      <c r="F23" s="5" t="s">
        <v>43</v>
      </c>
      <c r="G23" s="8">
        <v>0.0</v>
      </c>
      <c r="H23" s="9" t="b">
        <v>0</v>
      </c>
      <c r="I23" s="19" t="str">
        <f t="shared" ref="I23:I77" si="5">IF(OR(B23="cimo7473@gmail.com", B23="recursoshumanos@cimomet.com.ar"), "RRHH", "Empleado")</f>
        <v>Empleado</v>
      </c>
    </row>
    <row r="24" ht="22.5" hidden="1" customHeight="1">
      <c r="A24" s="4">
        <v>45880.703555925924</v>
      </c>
      <c r="B24" s="5" t="s">
        <v>14</v>
      </c>
      <c r="C24" s="6" t="s">
        <v>15</v>
      </c>
      <c r="D24" s="5">
        <v>3.7335591E7</v>
      </c>
      <c r="E24" s="18">
        <v>45884.0</v>
      </c>
      <c r="F24" s="5" t="s">
        <v>44</v>
      </c>
      <c r="G24" s="8">
        <v>0.0</v>
      </c>
      <c r="H24" s="9" t="b">
        <v>1</v>
      </c>
      <c r="I24" s="19" t="str">
        <f t="shared" si="5"/>
        <v>Empleado</v>
      </c>
    </row>
    <row r="25" ht="22.5" hidden="1" customHeight="1">
      <c r="A25" s="4">
        <v>45887.31389204861</v>
      </c>
      <c r="B25" s="5" t="s">
        <v>45</v>
      </c>
      <c r="C25" s="6" t="s">
        <v>46</v>
      </c>
      <c r="D25" s="5">
        <v>4.2768773E7</v>
      </c>
      <c r="E25" s="18">
        <v>36756.0</v>
      </c>
      <c r="F25" s="5" t="s">
        <v>47</v>
      </c>
      <c r="G25" s="8">
        <v>0.0</v>
      </c>
      <c r="H25" s="9" t="b">
        <v>0</v>
      </c>
      <c r="I25" s="19" t="str">
        <f t="shared" si="5"/>
        <v>Empleado</v>
      </c>
    </row>
    <row r="26" ht="22.5" hidden="1" customHeight="1">
      <c r="A26" s="4">
        <v>45888.30302078703</v>
      </c>
      <c r="B26" s="5" t="s">
        <v>45</v>
      </c>
      <c r="C26" s="6" t="s">
        <v>46</v>
      </c>
      <c r="D26" s="5">
        <v>4.2768773E7</v>
      </c>
      <c r="E26" s="18">
        <v>45888.0</v>
      </c>
      <c r="F26" s="5" t="s">
        <v>48</v>
      </c>
      <c r="G26" s="8">
        <v>0.0</v>
      </c>
      <c r="H26" s="9" t="b">
        <v>0</v>
      </c>
      <c r="I26" s="19" t="str">
        <f t="shared" si="5"/>
        <v>Empleado</v>
      </c>
    </row>
    <row r="27" ht="22.5" hidden="1" customHeight="1">
      <c r="A27" s="4">
        <v>45889.371901527775</v>
      </c>
      <c r="B27" s="5" t="s">
        <v>49</v>
      </c>
      <c r="C27" s="6" t="s">
        <v>50</v>
      </c>
      <c r="D27" s="5">
        <v>1.6155891E7</v>
      </c>
      <c r="E27" s="18">
        <v>45891.0</v>
      </c>
      <c r="F27" s="5" t="s">
        <v>51</v>
      </c>
      <c r="G27" s="8">
        <v>0.0</v>
      </c>
      <c r="H27" s="9" t="b">
        <v>1</v>
      </c>
      <c r="I27" s="19" t="str">
        <f t="shared" si="5"/>
        <v>Empleado</v>
      </c>
    </row>
    <row r="28" ht="22.5" hidden="1" customHeight="1">
      <c r="A28" s="4">
        <v>45896.57619039352</v>
      </c>
      <c r="B28" s="5" t="s">
        <v>52</v>
      </c>
      <c r="C28" s="6" t="s">
        <v>53</v>
      </c>
      <c r="D28" s="5">
        <v>4.316555E7</v>
      </c>
      <c r="E28" s="18">
        <v>45897.0</v>
      </c>
      <c r="F28" s="5" t="s">
        <v>54</v>
      </c>
      <c r="G28" s="8">
        <v>0.0</v>
      </c>
      <c r="H28" s="9" t="b">
        <v>1</v>
      </c>
      <c r="I28" s="19" t="str">
        <f t="shared" si="5"/>
        <v>Empleado</v>
      </c>
    </row>
    <row r="29" ht="22.5" hidden="1" customHeight="1">
      <c r="A29" s="4">
        <v>45898.55991591435</v>
      </c>
      <c r="B29" s="5" t="s">
        <v>42</v>
      </c>
      <c r="C29" s="6" t="s">
        <v>9</v>
      </c>
      <c r="D29" s="5">
        <v>4.160512E7</v>
      </c>
      <c r="E29" s="18">
        <v>45898.0</v>
      </c>
      <c r="F29" s="5" t="s">
        <v>55</v>
      </c>
      <c r="G29" s="8">
        <v>0.0</v>
      </c>
      <c r="H29" s="9" t="b">
        <v>1</v>
      </c>
      <c r="I29" s="19" t="str">
        <f t="shared" si="5"/>
        <v>Empleado</v>
      </c>
    </row>
    <row r="30" ht="22.5" hidden="1" customHeight="1">
      <c r="A30" s="4">
        <v>45933.576962314815</v>
      </c>
      <c r="B30" s="5" t="s">
        <v>56</v>
      </c>
      <c r="C30" s="6" t="s">
        <v>28</v>
      </c>
      <c r="D30" s="5">
        <v>4.1698806E7</v>
      </c>
      <c r="E30" s="18">
        <v>45936.0</v>
      </c>
      <c r="F30" s="5" t="s">
        <v>57</v>
      </c>
      <c r="G30" s="8">
        <v>0.0</v>
      </c>
      <c r="H30" s="9" t="b">
        <v>1</v>
      </c>
      <c r="I30" s="19" t="str">
        <f t="shared" si="5"/>
        <v>Empleado</v>
      </c>
    </row>
    <row r="31" ht="22.5" hidden="1" customHeight="1">
      <c r="A31" s="4">
        <v>45937.43715907408</v>
      </c>
      <c r="B31" s="5" t="s">
        <v>52</v>
      </c>
      <c r="C31" s="6" t="s">
        <v>53</v>
      </c>
      <c r="D31" s="5">
        <v>4.316555E7</v>
      </c>
      <c r="E31" s="18">
        <v>45938.0</v>
      </c>
      <c r="F31" s="5" t="s">
        <v>58</v>
      </c>
      <c r="G31" s="8">
        <v>0.0</v>
      </c>
      <c r="H31" s="9" t="b">
        <v>1</v>
      </c>
      <c r="I31" s="19" t="str">
        <f t="shared" si="5"/>
        <v>Empleado</v>
      </c>
    </row>
    <row r="32" ht="22.5" hidden="1" customHeight="1">
      <c r="A32" s="4">
        <v>45952.31085145833</v>
      </c>
      <c r="B32" s="5" t="s">
        <v>22</v>
      </c>
      <c r="C32" s="6" t="s">
        <v>59</v>
      </c>
      <c r="D32" s="5">
        <v>3.49378E7</v>
      </c>
      <c r="E32" s="18">
        <v>45952.0</v>
      </c>
      <c r="F32" s="5" t="s">
        <v>13</v>
      </c>
      <c r="G32" s="8">
        <v>0.0</v>
      </c>
      <c r="H32" s="9" t="b">
        <v>1</v>
      </c>
      <c r="I32" s="19" t="str">
        <f t="shared" si="5"/>
        <v>Empleado</v>
      </c>
    </row>
    <row r="33" ht="22.5" hidden="1" customHeight="1">
      <c r="A33" s="4">
        <v>45959.568405625</v>
      </c>
      <c r="B33" s="5" t="s">
        <v>52</v>
      </c>
      <c r="C33" s="6" t="s">
        <v>53</v>
      </c>
      <c r="D33" s="5">
        <v>4.316555E7</v>
      </c>
      <c r="E33" s="18">
        <v>45960.0</v>
      </c>
      <c r="F33" s="5" t="s">
        <v>60</v>
      </c>
      <c r="G33" s="8">
        <v>0.0</v>
      </c>
      <c r="H33" s="9" t="b">
        <v>1</v>
      </c>
      <c r="I33" s="19" t="str">
        <f t="shared" si="5"/>
        <v>Empleado</v>
      </c>
    </row>
    <row r="34" ht="22.5" hidden="1" customHeight="1">
      <c r="A34" s="4">
        <v>45960.513466539356</v>
      </c>
      <c r="B34" s="5" t="s">
        <v>42</v>
      </c>
      <c r="C34" s="6" t="s">
        <v>9</v>
      </c>
      <c r="D34" s="5">
        <v>4.160512E7</v>
      </c>
      <c r="E34" s="18">
        <v>45957.0</v>
      </c>
      <c r="F34" s="5" t="s">
        <v>26</v>
      </c>
      <c r="G34" s="8">
        <v>0.0</v>
      </c>
      <c r="H34" s="9" t="b">
        <v>1</v>
      </c>
      <c r="I34" s="19" t="str">
        <f t="shared" si="5"/>
        <v>Empleado</v>
      </c>
    </row>
    <row r="35" ht="22.5" hidden="1" customHeight="1">
      <c r="A35" s="4">
        <v>45968.625220601854</v>
      </c>
      <c r="B35" s="5" t="s">
        <v>45</v>
      </c>
      <c r="C35" s="6" t="s">
        <v>46</v>
      </c>
      <c r="D35" s="5">
        <v>4.2768773E7</v>
      </c>
      <c r="E35" s="18">
        <v>45986.0</v>
      </c>
      <c r="F35" s="5" t="s">
        <v>61</v>
      </c>
      <c r="G35" s="8">
        <v>0.0</v>
      </c>
      <c r="H35" s="9" t="b">
        <v>1</v>
      </c>
      <c r="I35" s="19" t="str">
        <f t="shared" si="5"/>
        <v>Empleado</v>
      </c>
    </row>
    <row r="36" ht="22.5" hidden="1" customHeight="1">
      <c r="A36" s="4">
        <v>45971.3327496412</v>
      </c>
      <c r="B36" s="5" t="s">
        <v>52</v>
      </c>
      <c r="C36" s="6" t="s">
        <v>53</v>
      </c>
      <c r="D36" s="5">
        <v>4.316555E7</v>
      </c>
      <c r="E36" s="18">
        <v>45974.0</v>
      </c>
      <c r="F36" s="5" t="s">
        <v>62</v>
      </c>
      <c r="G36" s="8">
        <v>0.0</v>
      </c>
      <c r="H36" s="9" t="b">
        <v>1</v>
      </c>
      <c r="I36" s="19" t="str">
        <f t="shared" si="5"/>
        <v>Empleado</v>
      </c>
    </row>
    <row r="37" ht="22.5" hidden="1" customHeight="1">
      <c r="A37" s="4">
        <v>45971.333426296296</v>
      </c>
      <c r="B37" s="5" t="s">
        <v>52</v>
      </c>
      <c r="C37" s="6" t="s">
        <v>53</v>
      </c>
      <c r="D37" s="5">
        <v>4.316555E7</v>
      </c>
      <c r="E37" s="18">
        <v>45975.0</v>
      </c>
      <c r="F37" s="5" t="s">
        <v>62</v>
      </c>
      <c r="G37" s="8">
        <v>0.0</v>
      </c>
      <c r="H37" s="9" t="b">
        <v>1</v>
      </c>
      <c r="I37" s="19" t="str">
        <f t="shared" si="5"/>
        <v>Empleado</v>
      </c>
    </row>
    <row r="38" ht="22.5" hidden="1" customHeight="1">
      <c r="A38" s="4">
        <v>45987.390000486106</v>
      </c>
      <c r="B38" s="5" t="s">
        <v>40</v>
      </c>
      <c r="C38" s="6" t="s">
        <v>28</v>
      </c>
      <c r="D38" s="5">
        <v>4.1698806E7</v>
      </c>
      <c r="E38" s="18">
        <v>45989.0</v>
      </c>
      <c r="F38" s="5" t="s">
        <v>63</v>
      </c>
      <c r="G38" s="8">
        <v>0.0</v>
      </c>
      <c r="H38" s="9" t="b">
        <v>1</v>
      </c>
      <c r="I38" s="19" t="str">
        <f t="shared" si="5"/>
        <v>Empleado</v>
      </c>
    </row>
    <row r="39" ht="22.5" hidden="1" customHeight="1">
      <c r="A39" s="4">
        <v>45988.434604571754</v>
      </c>
      <c r="B39" s="5" t="s">
        <v>42</v>
      </c>
      <c r="C39" s="6" t="s">
        <v>9</v>
      </c>
      <c r="D39" s="5">
        <v>4.160512E7</v>
      </c>
      <c r="E39" s="18" t="s">
        <v>64</v>
      </c>
      <c r="F39" s="5" t="s">
        <v>65</v>
      </c>
      <c r="G39" s="8">
        <v>0.0</v>
      </c>
      <c r="H39" s="9" t="b">
        <v>1</v>
      </c>
      <c r="I39" s="19" t="str">
        <f t="shared" si="5"/>
        <v>Empleado</v>
      </c>
    </row>
    <row r="40" ht="22.5" hidden="1" customHeight="1">
      <c r="A40" s="4">
        <v>45989.368798055555</v>
      </c>
      <c r="B40" s="5" t="s">
        <v>66</v>
      </c>
      <c r="C40" s="6" t="s">
        <v>30</v>
      </c>
      <c r="D40" s="5">
        <v>2.7163956E7</v>
      </c>
      <c r="E40" s="18">
        <v>45996.0</v>
      </c>
      <c r="F40" s="5" t="s">
        <v>67</v>
      </c>
      <c r="G40" s="8">
        <v>0.0</v>
      </c>
      <c r="H40" s="9" t="b">
        <v>1</v>
      </c>
      <c r="I40" s="19" t="str">
        <f t="shared" si="5"/>
        <v>Empleado</v>
      </c>
    </row>
    <row r="41" ht="22.5" hidden="1" customHeight="1">
      <c r="A41" s="4">
        <v>45992.31608990741</v>
      </c>
      <c r="B41" s="5" t="s">
        <v>68</v>
      </c>
      <c r="C41" s="6" t="s">
        <v>69</v>
      </c>
      <c r="D41" s="5">
        <v>2.7334678E7</v>
      </c>
      <c r="E41" s="18">
        <v>45992.0</v>
      </c>
      <c r="F41" s="5" t="s">
        <v>70</v>
      </c>
      <c r="G41" s="8">
        <v>0.0</v>
      </c>
      <c r="H41" s="9" t="b">
        <v>1</v>
      </c>
      <c r="I41" s="19" t="str">
        <f t="shared" si="5"/>
        <v>Empleado</v>
      </c>
    </row>
    <row r="42" ht="22.5" hidden="1" customHeight="1">
      <c r="A42" s="4">
        <v>45995.4396921875</v>
      </c>
      <c r="B42" s="5" t="s">
        <v>52</v>
      </c>
      <c r="C42" s="6" t="s">
        <v>53</v>
      </c>
      <c r="D42" s="5">
        <v>4.316555E7</v>
      </c>
      <c r="E42" s="18">
        <v>45994.0</v>
      </c>
      <c r="F42" s="5" t="s">
        <v>71</v>
      </c>
      <c r="G42" s="8">
        <v>0.0</v>
      </c>
      <c r="H42" s="9" t="b">
        <v>1</v>
      </c>
      <c r="I42" s="19" t="str">
        <f t="shared" si="5"/>
        <v>Empleado</v>
      </c>
    </row>
    <row r="43" ht="22.5" hidden="1" customHeight="1">
      <c r="A43" s="4">
        <v>45995.44001146991</v>
      </c>
      <c r="B43" s="5" t="s">
        <v>52</v>
      </c>
      <c r="C43" s="6" t="s">
        <v>53</v>
      </c>
      <c r="D43" s="5">
        <v>4.316555E7</v>
      </c>
      <c r="E43" s="18">
        <v>45995.0</v>
      </c>
      <c r="F43" s="5" t="s">
        <v>71</v>
      </c>
      <c r="G43" s="8">
        <v>0.0</v>
      </c>
      <c r="H43" s="9" t="b">
        <v>1</v>
      </c>
      <c r="I43" s="19" t="str">
        <f t="shared" si="5"/>
        <v>Empleado</v>
      </c>
    </row>
    <row r="44" ht="22.5" hidden="1" customHeight="1">
      <c r="A44" s="4">
        <v>46001.36445923611</v>
      </c>
      <c r="B44" s="5" t="s">
        <v>72</v>
      </c>
      <c r="C44" s="6" t="s">
        <v>73</v>
      </c>
      <c r="D44" s="5">
        <v>4.4777082E7</v>
      </c>
      <c r="E44" s="18">
        <v>46002.0</v>
      </c>
      <c r="F44" s="5" t="s">
        <v>74</v>
      </c>
      <c r="G44" s="8">
        <v>0.0</v>
      </c>
      <c r="H44" s="9" t="b">
        <v>1</v>
      </c>
      <c r="I44" s="19" t="str">
        <f t="shared" si="5"/>
        <v>Empleado</v>
      </c>
    </row>
    <row r="45" ht="22.5" hidden="1" customHeight="1">
      <c r="A45" s="4">
        <v>46001.40653274306</v>
      </c>
      <c r="B45" s="5" t="s">
        <v>72</v>
      </c>
      <c r="C45" s="6" t="s">
        <v>73</v>
      </c>
      <c r="D45" s="5">
        <v>4.4777082E7</v>
      </c>
      <c r="E45" s="18">
        <v>46001.0</v>
      </c>
      <c r="F45" s="5" t="s">
        <v>75</v>
      </c>
      <c r="G45" s="8">
        <v>0.0</v>
      </c>
      <c r="H45" s="9" t="b">
        <v>1</v>
      </c>
      <c r="I45" s="19" t="str">
        <f t="shared" si="5"/>
        <v>Empleado</v>
      </c>
    </row>
    <row r="46" ht="22.5" hidden="1" customHeight="1">
      <c r="A46" s="4">
        <v>46020.34585596065</v>
      </c>
      <c r="B46" s="5" t="s">
        <v>19</v>
      </c>
      <c r="C46" s="6" t="s">
        <v>20</v>
      </c>
      <c r="D46" s="5">
        <v>2.6979244E7</v>
      </c>
      <c r="E46" s="18">
        <v>46024.0</v>
      </c>
      <c r="F46" s="5" t="s">
        <v>61</v>
      </c>
      <c r="G46" s="8">
        <v>0.0</v>
      </c>
      <c r="H46" s="9" t="b">
        <v>1</v>
      </c>
      <c r="I46" s="19" t="str">
        <f t="shared" si="5"/>
        <v>Empleado</v>
      </c>
    </row>
    <row r="47" ht="22.5" hidden="1" customHeight="1">
      <c r="A47" s="4">
        <v>46020.632524120374</v>
      </c>
      <c r="B47" s="5" t="s">
        <v>25</v>
      </c>
      <c r="C47" s="6" t="s">
        <v>76</v>
      </c>
      <c r="D47" s="5">
        <v>1.4143459E7</v>
      </c>
      <c r="E47" s="18">
        <v>46022.0</v>
      </c>
      <c r="F47" s="5" t="s">
        <v>77</v>
      </c>
      <c r="G47" s="8">
        <v>0.0</v>
      </c>
      <c r="H47" s="9" t="b">
        <v>1</v>
      </c>
      <c r="I47" s="19" t="str">
        <f t="shared" si="5"/>
        <v>Empleado</v>
      </c>
    </row>
    <row r="48" ht="22.5" customHeight="1">
      <c r="A48" s="4">
        <v>46045.30511223379</v>
      </c>
      <c r="B48" s="5" t="s">
        <v>52</v>
      </c>
      <c r="C48" s="6" t="s">
        <v>78</v>
      </c>
      <c r="D48" s="5">
        <v>4.316555E7</v>
      </c>
      <c r="E48" s="18">
        <v>46049.0</v>
      </c>
      <c r="F48" s="5" t="s">
        <v>79</v>
      </c>
      <c r="G48" s="8">
        <v>0.0</v>
      </c>
      <c r="H48" s="9" t="b">
        <v>1</v>
      </c>
      <c r="I48" s="19" t="str">
        <f t="shared" si="5"/>
        <v>Empleado</v>
      </c>
    </row>
    <row r="49" ht="22.5" customHeight="1">
      <c r="A49" s="4">
        <v>46048.32569384259</v>
      </c>
      <c r="B49" s="5" t="s">
        <v>80</v>
      </c>
      <c r="C49" s="6" t="s">
        <v>81</v>
      </c>
      <c r="D49" s="5">
        <v>4.1312361E7</v>
      </c>
      <c r="E49" s="18">
        <v>46048.0</v>
      </c>
      <c r="F49" s="5" t="s">
        <v>70</v>
      </c>
      <c r="G49" s="8">
        <v>0.0</v>
      </c>
      <c r="H49" s="9" t="b">
        <v>1</v>
      </c>
      <c r="I49" s="19" t="str">
        <f t="shared" si="5"/>
        <v>Empleado</v>
      </c>
    </row>
    <row r="50" ht="22.5" customHeight="1">
      <c r="A50" s="4">
        <v>46056.32583851852</v>
      </c>
      <c r="B50" s="5" t="s">
        <v>82</v>
      </c>
      <c r="C50" s="6" t="s">
        <v>83</v>
      </c>
      <c r="D50" s="5">
        <v>1.9021134E7</v>
      </c>
      <c r="E50" s="18">
        <v>46056.0</v>
      </c>
      <c r="F50" s="5" t="s">
        <v>84</v>
      </c>
      <c r="G50" s="8">
        <v>0.0</v>
      </c>
      <c r="H50" s="9" t="b">
        <v>1</v>
      </c>
      <c r="I50" s="19" t="str">
        <f t="shared" si="5"/>
        <v>Empleado</v>
      </c>
    </row>
    <row r="51" ht="22.5" customHeight="1">
      <c r="A51" s="4">
        <v>46065.38533104167</v>
      </c>
      <c r="B51" s="5" t="s">
        <v>85</v>
      </c>
      <c r="C51" s="6" t="s">
        <v>86</v>
      </c>
      <c r="D51" s="5">
        <v>4.3580656E7</v>
      </c>
      <c r="E51" s="18">
        <v>46066.0</v>
      </c>
      <c r="F51" s="5" t="s">
        <v>87</v>
      </c>
      <c r="G51" s="8">
        <v>0.0</v>
      </c>
      <c r="H51" s="9" t="b">
        <v>1</v>
      </c>
      <c r="I51" s="19" t="str">
        <f t="shared" si="5"/>
        <v>Empleado</v>
      </c>
    </row>
    <row r="52" ht="22.5" customHeight="1">
      <c r="A52" s="4">
        <v>46072.361205625</v>
      </c>
      <c r="B52" s="5" t="s">
        <v>88</v>
      </c>
      <c r="C52" s="6" t="s">
        <v>89</v>
      </c>
      <c r="D52" s="5">
        <v>1.6301882E7</v>
      </c>
      <c r="E52" s="18">
        <v>46072.0</v>
      </c>
      <c r="F52" s="5" t="s">
        <v>90</v>
      </c>
      <c r="G52" s="8">
        <v>0.0</v>
      </c>
      <c r="H52" s="9" t="b">
        <v>1</v>
      </c>
      <c r="I52" s="19" t="str">
        <f t="shared" si="5"/>
        <v>RRHH</v>
      </c>
    </row>
    <row r="53" ht="22.5" customHeight="1">
      <c r="A53" s="4">
        <v>46090.259525127316</v>
      </c>
      <c r="B53" s="5" t="s">
        <v>91</v>
      </c>
      <c r="C53" s="6" t="s">
        <v>92</v>
      </c>
      <c r="D53" s="5">
        <v>2.8389105E7</v>
      </c>
      <c r="E53" s="18">
        <v>46090.0</v>
      </c>
      <c r="F53" s="5" t="s">
        <v>93</v>
      </c>
      <c r="G53" s="8">
        <v>0.0</v>
      </c>
      <c r="H53" s="9" t="b">
        <v>1</v>
      </c>
      <c r="I53" s="19" t="str">
        <f t="shared" si="5"/>
        <v>Empleado</v>
      </c>
    </row>
    <row r="54" ht="22.5" customHeight="1">
      <c r="A54" s="4">
        <v>46092.51489958333</v>
      </c>
      <c r="B54" s="5" t="s">
        <v>91</v>
      </c>
      <c r="C54" s="6" t="s">
        <v>94</v>
      </c>
      <c r="D54" s="5">
        <v>2.8389105E7</v>
      </c>
      <c r="E54" s="18">
        <v>46091.0</v>
      </c>
      <c r="F54" s="5" t="s">
        <v>95</v>
      </c>
      <c r="G54" s="8">
        <v>0.0</v>
      </c>
      <c r="H54" s="9" t="b">
        <v>1</v>
      </c>
      <c r="I54" s="19" t="str">
        <f t="shared" si="5"/>
        <v>Empleado</v>
      </c>
    </row>
    <row r="55" ht="22.5" customHeight="1">
      <c r="A55" s="4">
        <v>46093.35489229167</v>
      </c>
      <c r="B55" s="5" t="s">
        <v>96</v>
      </c>
      <c r="C55" s="6" t="s">
        <v>12</v>
      </c>
      <c r="D55" s="5">
        <v>1.3169751E7</v>
      </c>
      <c r="E55" s="18">
        <v>46094.0</v>
      </c>
      <c r="F55" s="5" t="s">
        <v>97</v>
      </c>
      <c r="G55" s="8">
        <v>0.0</v>
      </c>
      <c r="H55" s="9" t="b">
        <v>1</v>
      </c>
      <c r="I55" s="19" t="str">
        <f t="shared" si="5"/>
        <v>Empleado</v>
      </c>
    </row>
    <row r="56" ht="22.5" customHeight="1">
      <c r="A56" s="4">
        <v>46094.395507407404</v>
      </c>
      <c r="B56" s="5" t="s">
        <v>52</v>
      </c>
      <c r="C56" s="6" t="s">
        <v>78</v>
      </c>
      <c r="D56" s="5">
        <v>4.316555E7</v>
      </c>
      <c r="E56" s="18">
        <v>46093.0</v>
      </c>
      <c r="F56" s="5" t="s">
        <v>98</v>
      </c>
      <c r="G56" s="8">
        <v>0.0</v>
      </c>
      <c r="H56" s="9" t="b">
        <v>1</v>
      </c>
      <c r="I56" s="19" t="str">
        <f t="shared" si="5"/>
        <v>Empleado</v>
      </c>
    </row>
    <row r="57" ht="22.5" customHeight="1">
      <c r="A57" s="4">
        <v>46097.484832372684</v>
      </c>
      <c r="B57" s="5" t="s">
        <v>42</v>
      </c>
      <c r="C57" s="6" t="s">
        <v>9</v>
      </c>
      <c r="D57" s="5">
        <v>4.160512E7</v>
      </c>
      <c r="E57" s="18">
        <v>46097.0</v>
      </c>
      <c r="F57" s="5" t="s">
        <v>99</v>
      </c>
      <c r="G57" s="8">
        <v>0.0</v>
      </c>
      <c r="H57" s="9" t="b">
        <v>1</v>
      </c>
      <c r="I57" s="19" t="str">
        <f t="shared" si="5"/>
        <v>Empleado</v>
      </c>
    </row>
    <row r="58" ht="22.5" customHeight="1">
      <c r="A58" s="4">
        <v>46106.33889356481</v>
      </c>
      <c r="B58" s="5" t="s">
        <v>100</v>
      </c>
      <c r="C58" s="6" t="s">
        <v>50</v>
      </c>
      <c r="D58" s="5">
        <v>1.6155891E7</v>
      </c>
      <c r="E58" s="18">
        <v>46106.0</v>
      </c>
      <c r="F58" s="5" t="s">
        <v>101</v>
      </c>
      <c r="G58" s="8">
        <v>0.0</v>
      </c>
      <c r="H58" s="9" t="b">
        <v>1</v>
      </c>
      <c r="I58" s="19" t="str">
        <f t="shared" si="5"/>
        <v>Empleado</v>
      </c>
    </row>
    <row r="59" ht="22.5" customHeight="1">
      <c r="A59" s="4">
        <v>46107.43733206019</v>
      </c>
      <c r="B59" s="5" t="s">
        <v>66</v>
      </c>
      <c r="C59" s="6" t="s">
        <v>30</v>
      </c>
      <c r="D59" s="5">
        <v>2.7163956E7</v>
      </c>
      <c r="E59" s="18">
        <v>46118.0</v>
      </c>
      <c r="F59" s="5" t="s">
        <v>102</v>
      </c>
      <c r="G59" s="8">
        <v>0.0</v>
      </c>
      <c r="H59" s="9" t="b">
        <v>1</v>
      </c>
      <c r="I59" s="19" t="str">
        <f t="shared" si="5"/>
        <v>Empleado</v>
      </c>
    </row>
    <row r="60" ht="22.5" customHeight="1">
      <c r="A60" s="4">
        <v>46118.58928137731</v>
      </c>
      <c r="B60" s="5" t="s">
        <v>66</v>
      </c>
      <c r="C60" s="6" t="s">
        <v>30</v>
      </c>
      <c r="D60" s="5">
        <v>2.7163956E7</v>
      </c>
      <c r="E60" s="18">
        <v>46118.0</v>
      </c>
      <c r="F60" s="5" t="s">
        <v>103</v>
      </c>
      <c r="G60" s="8">
        <v>0.0</v>
      </c>
      <c r="H60" s="9" t="b">
        <v>1</v>
      </c>
      <c r="I60" s="19" t="str">
        <f t="shared" si="5"/>
        <v>Empleado</v>
      </c>
    </row>
    <row r="61" ht="22.5" customHeight="1">
      <c r="A61" s="4">
        <v>46119.32775303241</v>
      </c>
      <c r="B61" s="5" t="s">
        <v>66</v>
      </c>
      <c r="C61" s="6" t="s">
        <v>30</v>
      </c>
      <c r="D61" s="5">
        <v>2.7163956E7</v>
      </c>
      <c r="E61" s="18">
        <v>46119.0</v>
      </c>
      <c r="F61" s="5" t="s">
        <v>104</v>
      </c>
      <c r="G61" s="8">
        <v>0.0</v>
      </c>
      <c r="H61" s="9" t="b">
        <v>1</v>
      </c>
      <c r="I61" s="19" t="str">
        <f t="shared" si="5"/>
        <v>Empleado</v>
      </c>
    </row>
    <row r="62" ht="22.5" customHeight="1">
      <c r="A62" s="4">
        <v>46121.53319534722</v>
      </c>
      <c r="B62" s="5" t="s">
        <v>105</v>
      </c>
      <c r="C62" s="6" t="s">
        <v>106</v>
      </c>
      <c r="D62" s="5">
        <v>3.687992E7</v>
      </c>
      <c r="E62" s="18">
        <v>46121.0</v>
      </c>
      <c r="F62" s="5" t="s">
        <v>107</v>
      </c>
      <c r="G62" s="8">
        <v>0.0</v>
      </c>
      <c r="H62" s="9" t="b">
        <v>1</v>
      </c>
      <c r="I62" s="19" t="str">
        <f t="shared" si="5"/>
        <v>Empleado</v>
      </c>
    </row>
    <row r="63" ht="22.5" customHeight="1">
      <c r="A63" s="4">
        <v>46122.3479975</v>
      </c>
      <c r="B63" s="5" t="s">
        <v>66</v>
      </c>
      <c r="C63" s="6" t="s">
        <v>30</v>
      </c>
      <c r="D63" s="5">
        <v>2.7163956E7</v>
      </c>
      <c r="E63" s="18">
        <v>46122.0</v>
      </c>
      <c r="F63" s="5" t="s">
        <v>104</v>
      </c>
      <c r="G63" s="8">
        <v>0.0</v>
      </c>
      <c r="H63" s="9" t="b">
        <v>1</v>
      </c>
      <c r="I63" s="19" t="str">
        <f t="shared" si="5"/>
        <v>Empleado</v>
      </c>
    </row>
    <row r="64" ht="22.5" customHeight="1">
      <c r="A64" s="4">
        <v>46125.33968877315</v>
      </c>
      <c r="B64" s="5" t="s">
        <v>66</v>
      </c>
      <c r="C64" s="6" t="s">
        <v>30</v>
      </c>
      <c r="D64" s="5">
        <v>2.7163956E7</v>
      </c>
      <c r="E64" s="18">
        <v>46125.0</v>
      </c>
      <c r="F64" s="5" t="s">
        <v>104</v>
      </c>
      <c r="G64" s="8">
        <v>0.0</v>
      </c>
      <c r="H64" s="9" t="b">
        <v>1</v>
      </c>
      <c r="I64" s="19" t="str">
        <f t="shared" si="5"/>
        <v>Empleado</v>
      </c>
    </row>
    <row r="65" ht="22.5" customHeight="1">
      <c r="A65" s="4">
        <v>46125.548015821754</v>
      </c>
      <c r="B65" s="5" t="s">
        <v>52</v>
      </c>
      <c r="C65" s="6" t="s">
        <v>78</v>
      </c>
      <c r="D65" s="5">
        <v>4.316555E7</v>
      </c>
      <c r="E65" s="18">
        <v>46126.0</v>
      </c>
      <c r="F65" s="5" t="s">
        <v>108</v>
      </c>
      <c r="G65" s="8">
        <v>0.0</v>
      </c>
      <c r="H65" s="9" t="b">
        <v>1</v>
      </c>
      <c r="I65" s="19" t="str">
        <f t="shared" si="5"/>
        <v>Empleado</v>
      </c>
    </row>
    <row r="66" ht="22.5" customHeight="1">
      <c r="A66" s="4">
        <v>46126.4903071875</v>
      </c>
      <c r="B66" s="5" t="s">
        <v>42</v>
      </c>
      <c r="C66" s="6" t="s">
        <v>9</v>
      </c>
      <c r="D66" s="5">
        <v>4.160512E7</v>
      </c>
      <c r="E66" s="18">
        <v>46126.0</v>
      </c>
      <c r="F66" s="5" t="s">
        <v>99</v>
      </c>
      <c r="G66" s="8">
        <v>0.0</v>
      </c>
      <c r="H66" s="9" t="b">
        <v>1</v>
      </c>
      <c r="I66" s="19" t="str">
        <f t="shared" si="5"/>
        <v>Empleado</v>
      </c>
    </row>
    <row r="67" ht="22.5" customHeight="1">
      <c r="A67" s="4">
        <v>46127.384403715274</v>
      </c>
      <c r="B67" s="5" t="s">
        <v>66</v>
      </c>
      <c r="C67" s="6" t="s">
        <v>30</v>
      </c>
      <c r="D67" s="5">
        <v>2.7163956E7</v>
      </c>
      <c r="E67" s="18">
        <v>46127.0</v>
      </c>
      <c r="F67" s="5" t="s">
        <v>109</v>
      </c>
      <c r="G67" s="8">
        <v>0.0</v>
      </c>
      <c r="H67" s="9" t="b">
        <v>1</v>
      </c>
      <c r="I67" s="19" t="str">
        <f t="shared" si="5"/>
        <v>Empleado</v>
      </c>
    </row>
    <row r="68" ht="22.5" customHeight="1">
      <c r="A68" s="4">
        <v>46129.678296805556</v>
      </c>
      <c r="B68" s="5" t="s">
        <v>110</v>
      </c>
      <c r="C68" s="6" t="s">
        <v>111</v>
      </c>
      <c r="D68" s="5">
        <v>3.687992E7</v>
      </c>
      <c r="E68" s="18">
        <v>46132.0</v>
      </c>
      <c r="F68" s="5" t="s">
        <v>112</v>
      </c>
      <c r="G68" s="8">
        <v>0.0</v>
      </c>
      <c r="H68" s="9" t="b">
        <v>1</v>
      </c>
      <c r="I68" s="19" t="str">
        <f t="shared" si="5"/>
        <v>Empleado</v>
      </c>
    </row>
    <row r="69" ht="22.5" customHeight="1">
      <c r="A69" s="4">
        <v>46135.33987070602</v>
      </c>
      <c r="B69" s="5" t="s">
        <v>113</v>
      </c>
      <c r="C69" s="6" t="s">
        <v>38</v>
      </c>
      <c r="D69" s="5">
        <v>1.4143459E7</v>
      </c>
      <c r="E69" s="18">
        <v>46135.0</v>
      </c>
      <c r="F69" s="5" t="s">
        <v>114</v>
      </c>
      <c r="G69" s="8">
        <v>0.0</v>
      </c>
      <c r="H69" s="9" t="b">
        <v>1</v>
      </c>
      <c r="I69" s="19" t="str">
        <f t="shared" si="5"/>
        <v>Empleado</v>
      </c>
    </row>
    <row r="70" ht="22.5" customHeight="1">
      <c r="A70" s="4">
        <v>46150.37157065972</v>
      </c>
      <c r="B70" s="5" t="s">
        <v>91</v>
      </c>
      <c r="C70" s="6" t="s">
        <v>92</v>
      </c>
      <c r="D70" s="5">
        <v>2.8389105E7</v>
      </c>
      <c r="E70" s="18">
        <v>46149.0</v>
      </c>
      <c r="F70" s="5" t="s">
        <v>115</v>
      </c>
      <c r="G70" s="8">
        <v>0.0</v>
      </c>
      <c r="H70" s="9" t="b">
        <v>1</v>
      </c>
      <c r="I70" s="19" t="str">
        <f t="shared" si="5"/>
        <v>Empleado</v>
      </c>
    </row>
    <row r="71" ht="22.5" customHeight="1">
      <c r="A71" s="4">
        <v>46161.39534818287</v>
      </c>
      <c r="B71" s="5" t="s">
        <v>37</v>
      </c>
      <c r="C71" s="6" t="s">
        <v>116</v>
      </c>
      <c r="D71" s="5">
        <v>4.160512E7</v>
      </c>
      <c r="E71" s="18">
        <v>46161.0</v>
      </c>
      <c r="F71" s="5" t="s">
        <v>117</v>
      </c>
      <c r="G71" s="8">
        <v>0.0</v>
      </c>
      <c r="H71" s="9" t="b">
        <v>1</v>
      </c>
      <c r="I71" s="19" t="str">
        <f t="shared" si="5"/>
        <v>Empleado</v>
      </c>
    </row>
    <row r="72" ht="22.5" customHeight="1">
      <c r="A72" s="4">
        <v>46162.3443019213</v>
      </c>
      <c r="B72" s="5" t="s">
        <v>37</v>
      </c>
      <c r="C72" s="6" t="s">
        <v>118</v>
      </c>
      <c r="D72" s="5">
        <v>3.687992E7</v>
      </c>
      <c r="E72" s="18">
        <v>46162.0</v>
      </c>
      <c r="F72" s="5" t="s">
        <v>119</v>
      </c>
      <c r="G72" s="8">
        <v>0.0</v>
      </c>
      <c r="H72" s="9" t="b">
        <v>1</v>
      </c>
      <c r="I72" s="19" t="str">
        <f t="shared" si="5"/>
        <v>Empleado</v>
      </c>
    </row>
    <row r="73" ht="22.5" customHeight="1">
      <c r="A73" s="4">
        <v>46162.446342905096</v>
      </c>
      <c r="B73" s="5" t="s">
        <v>52</v>
      </c>
      <c r="C73" s="6" t="s">
        <v>78</v>
      </c>
      <c r="D73" s="5">
        <v>4316550.0</v>
      </c>
      <c r="E73" s="18">
        <v>46162.0</v>
      </c>
      <c r="F73" s="5" t="s">
        <v>120</v>
      </c>
      <c r="G73" s="8">
        <v>0.0</v>
      </c>
      <c r="H73" s="9" t="b">
        <v>1</v>
      </c>
      <c r="I73" s="19" t="str">
        <f t="shared" si="5"/>
        <v>Empleado</v>
      </c>
    </row>
    <row r="74" ht="22.5" customHeight="1">
      <c r="A74" s="4">
        <v>46162.877244386575</v>
      </c>
      <c r="B74" s="5" t="s">
        <v>52</v>
      </c>
      <c r="C74" s="6" t="s">
        <v>78</v>
      </c>
      <c r="D74" s="5">
        <v>4.316555E7</v>
      </c>
      <c r="E74" s="18">
        <v>46163.0</v>
      </c>
      <c r="F74" s="5" t="s">
        <v>121</v>
      </c>
      <c r="G74" s="8">
        <v>0.0</v>
      </c>
      <c r="H74" s="9" t="b">
        <v>1</v>
      </c>
      <c r="I74" s="19" t="str">
        <f t="shared" si="5"/>
        <v>Empleado</v>
      </c>
    </row>
    <row r="75" ht="22.5" customHeight="1">
      <c r="A75" s="4">
        <v>46185.36460726852</v>
      </c>
      <c r="B75" s="5" t="s">
        <v>42</v>
      </c>
      <c r="C75" s="6" t="s">
        <v>9</v>
      </c>
      <c r="D75" s="5">
        <v>4.160512E7</v>
      </c>
      <c r="E75" s="18">
        <v>46184.0</v>
      </c>
      <c r="F75" s="5" t="s">
        <v>99</v>
      </c>
      <c r="G75" s="8">
        <v>0.0</v>
      </c>
      <c r="H75" s="9" t="b">
        <v>1</v>
      </c>
      <c r="I75" s="19" t="str">
        <f t="shared" si="5"/>
        <v>Empleado</v>
      </c>
    </row>
    <row r="76" ht="22.5" customHeight="1">
      <c r="A76" s="4">
        <v>46195.343977847224</v>
      </c>
      <c r="B76" s="5" t="s">
        <v>122</v>
      </c>
      <c r="C76" s="6" t="s">
        <v>15</v>
      </c>
      <c r="D76" s="5">
        <v>3.7335591E7</v>
      </c>
      <c r="E76" s="18">
        <v>46195.0</v>
      </c>
      <c r="F76" s="5" t="s">
        <v>99</v>
      </c>
      <c r="G76" s="8">
        <v>0.0</v>
      </c>
      <c r="H76" s="9" t="b">
        <v>1</v>
      </c>
      <c r="I76" s="19" t="str">
        <f t="shared" si="5"/>
        <v>Empleado</v>
      </c>
    </row>
    <row r="77" ht="22.5" customHeight="1">
      <c r="A77" s="4">
        <v>46196.341133865746</v>
      </c>
      <c r="B77" s="5" t="s">
        <v>96</v>
      </c>
      <c r="C77" s="6" t="s">
        <v>12</v>
      </c>
      <c r="D77" s="5">
        <v>1.3169751E7</v>
      </c>
      <c r="E77" s="18">
        <v>46198.0</v>
      </c>
      <c r="F77" s="5" t="s">
        <v>123</v>
      </c>
      <c r="G77" s="8">
        <v>0.0</v>
      </c>
      <c r="H77" s="9" t="b">
        <v>1</v>
      </c>
      <c r="I77" s="19" t="str">
        <f t="shared" si="5"/>
        <v>Empleado</v>
      </c>
    </row>
    <row r="78">
      <c r="C78" s="20"/>
      <c r="E78" s="21"/>
      <c r="H78" s="20" t="b">
        <v>0</v>
      </c>
      <c r="I78" s="22"/>
    </row>
    <row r="79">
      <c r="C79" s="20"/>
      <c r="E79" s="21"/>
      <c r="H79" s="20" t="b">
        <v>0</v>
      </c>
      <c r="I79" s="22"/>
    </row>
    <row r="80">
      <c r="C80" s="20"/>
      <c r="E80" s="21"/>
      <c r="H80" s="20" t="b">
        <v>0</v>
      </c>
      <c r="I80" s="22"/>
    </row>
    <row r="81">
      <c r="C81" s="20"/>
      <c r="E81" s="21"/>
      <c r="H81" s="20" t="b">
        <v>0</v>
      </c>
      <c r="I81" s="22"/>
    </row>
    <row r="82">
      <c r="C82" s="20"/>
      <c r="E82" s="21"/>
      <c r="H82" s="20" t="b">
        <v>0</v>
      </c>
      <c r="I82" s="22"/>
    </row>
    <row r="83">
      <c r="C83" s="20"/>
      <c r="E83" s="21"/>
      <c r="H83" s="20" t="b">
        <v>0</v>
      </c>
      <c r="I83" s="22"/>
    </row>
    <row r="84">
      <c r="C84" s="20"/>
      <c r="E84" s="21"/>
      <c r="H84" s="20" t="b">
        <v>0</v>
      </c>
      <c r="I84" s="22"/>
    </row>
    <row r="85">
      <c r="C85" s="20"/>
      <c r="E85" s="21"/>
      <c r="H85" s="20" t="b">
        <v>0</v>
      </c>
      <c r="I85" s="22"/>
    </row>
    <row r="86">
      <c r="C86" s="20"/>
      <c r="E86" s="21"/>
      <c r="H86" s="20" t="b">
        <v>0</v>
      </c>
      <c r="I86" s="22"/>
    </row>
    <row r="87">
      <c r="C87" s="20"/>
      <c r="E87" s="21"/>
      <c r="H87" s="20" t="b">
        <v>0</v>
      </c>
      <c r="I87" s="22"/>
    </row>
    <row r="88">
      <c r="C88" s="20"/>
      <c r="E88" s="21"/>
      <c r="H88" s="20" t="b">
        <v>0</v>
      </c>
      <c r="I88" s="22"/>
    </row>
    <row r="89">
      <c r="C89" s="20"/>
      <c r="E89" s="21"/>
      <c r="H89" s="20" t="b">
        <v>0</v>
      </c>
      <c r="I89" s="22"/>
    </row>
    <row r="90">
      <c r="C90" s="20"/>
      <c r="E90" s="21"/>
      <c r="H90" s="20" t="b">
        <v>0</v>
      </c>
      <c r="I90" s="22"/>
    </row>
    <row r="91">
      <c r="C91" s="20"/>
      <c r="E91" s="21"/>
      <c r="H91" s="20" t="b">
        <v>0</v>
      </c>
      <c r="I91" s="22"/>
    </row>
    <row r="92">
      <c r="C92" s="20"/>
      <c r="E92" s="21"/>
      <c r="H92" s="20" t="b">
        <v>0</v>
      </c>
      <c r="I92" s="22"/>
    </row>
    <row r="93">
      <c r="C93" s="20"/>
      <c r="E93" s="21"/>
      <c r="H93" s="20" t="b">
        <v>0</v>
      </c>
      <c r="I93" s="22"/>
    </row>
    <row r="94">
      <c r="C94" s="20"/>
      <c r="E94" s="21"/>
      <c r="H94" s="20" t="b">
        <v>0</v>
      </c>
      <c r="I94" s="22"/>
    </row>
    <row r="95">
      <c r="C95" s="20"/>
      <c r="E95" s="21"/>
      <c r="H95" s="20" t="b">
        <v>0</v>
      </c>
      <c r="I95" s="22"/>
    </row>
    <row r="96">
      <c r="C96" s="20"/>
      <c r="E96" s="21"/>
      <c r="H96" s="20" t="b">
        <v>0</v>
      </c>
      <c r="I96" s="22"/>
    </row>
    <row r="97">
      <c r="C97" s="20"/>
      <c r="E97" s="21"/>
      <c r="H97" s="20" t="b">
        <v>0</v>
      </c>
      <c r="I97" s="22"/>
    </row>
    <row r="98">
      <c r="C98" s="20"/>
      <c r="E98" s="21"/>
      <c r="H98" s="20" t="b">
        <v>0</v>
      </c>
      <c r="I98" s="22"/>
    </row>
    <row r="99">
      <c r="C99" s="20"/>
      <c r="E99" s="21"/>
      <c r="H99" s="20" t="b">
        <v>0</v>
      </c>
      <c r="I99" s="22"/>
    </row>
    <row r="100">
      <c r="C100" s="20"/>
      <c r="E100" s="21"/>
      <c r="H100" s="20" t="b">
        <v>0</v>
      </c>
      <c r="I100" s="22"/>
    </row>
    <row r="101">
      <c r="C101" s="20"/>
      <c r="E101" s="21"/>
      <c r="H101" s="20" t="b">
        <v>0</v>
      </c>
      <c r="I101" s="22"/>
    </row>
    <row r="102">
      <c r="C102" s="20"/>
      <c r="E102" s="21"/>
      <c r="H102" s="20" t="b">
        <v>0</v>
      </c>
      <c r="I102" s="22"/>
    </row>
    <row r="103">
      <c r="C103" s="20"/>
      <c r="E103" s="21"/>
      <c r="H103" s="20" t="b">
        <v>0</v>
      </c>
      <c r="I103" s="22"/>
    </row>
    <row r="104">
      <c r="C104" s="20"/>
      <c r="E104" s="21"/>
      <c r="H104" s="20" t="b">
        <v>0</v>
      </c>
      <c r="I104" s="22"/>
    </row>
    <row r="105">
      <c r="C105" s="20"/>
      <c r="E105" s="21"/>
      <c r="H105" s="20" t="b">
        <v>0</v>
      </c>
      <c r="I105" s="22"/>
    </row>
    <row r="106">
      <c r="C106" s="20"/>
      <c r="E106" s="21"/>
      <c r="H106" s="20" t="b">
        <v>0</v>
      </c>
      <c r="I106" s="22"/>
    </row>
    <row r="107">
      <c r="C107" s="20"/>
      <c r="E107" s="21"/>
      <c r="H107" s="20" t="b">
        <v>0</v>
      </c>
      <c r="I107" s="22"/>
    </row>
    <row r="108">
      <c r="C108" s="20"/>
      <c r="E108" s="21"/>
      <c r="H108" s="20" t="b">
        <v>0</v>
      </c>
      <c r="I108" s="22"/>
    </row>
    <row r="109">
      <c r="C109" s="20"/>
      <c r="E109" s="21"/>
      <c r="H109" s="20" t="b">
        <v>0</v>
      </c>
      <c r="I109" s="22"/>
    </row>
    <row r="110">
      <c r="C110" s="20"/>
      <c r="E110" s="21"/>
      <c r="H110" s="20" t="b">
        <v>0</v>
      </c>
      <c r="I110" s="22"/>
    </row>
    <row r="111">
      <c r="C111" s="20"/>
      <c r="E111" s="21"/>
      <c r="H111" s="20" t="b">
        <v>0</v>
      </c>
      <c r="I111" s="22"/>
    </row>
    <row r="112">
      <c r="C112" s="20"/>
      <c r="E112" s="21"/>
      <c r="H112" s="20" t="b">
        <v>0</v>
      </c>
      <c r="I112" s="22"/>
    </row>
    <row r="113">
      <c r="C113" s="20"/>
      <c r="E113" s="21"/>
      <c r="H113" s="20" t="b">
        <v>0</v>
      </c>
      <c r="I113" s="22"/>
    </row>
    <row r="114">
      <c r="C114" s="20"/>
      <c r="E114" s="21"/>
      <c r="H114" s="20" t="b">
        <v>0</v>
      </c>
      <c r="I114" s="22"/>
    </row>
    <row r="115">
      <c r="C115" s="20"/>
      <c r="E115" s="21"/>
      <c r="H115" s="20" t="b">
        <v>0</v>
      </c>
      <c r="I115" s="22"/>
    </row>
    <row r="116">
      <c r="C116" s="20"/>
      <c r="E116" s="21"/>
      <c r="H116" s="20" t="b">
        <v>0</v>
      </c>
      <c r="I116" s="22"/>
    </row>
    <row r="117">
      <c r="C117" s="20"/>
      <c r="E117" s="21"/>
      <c r="H117" s="20" t="b">
        <v>0</v>
      </c>
      <c r="I117" s="22"/>
    </row>
    <row r="118">
      <c r="C118" s="20"/>
      <c r="E118" s="21"/>
      <c r="H118" s="20" t="b">
        <v>0</v>
      </c>
      <c r="I118" s="22"/>
    </row>
    <row r="119">
      <c r="C119" s="20"/>
      <c r="E119" s="21"/>
      <c r="H119" s="20" t="b">
        <v>0</v>
      </c>
      <c r="I119" s="22"/>
    </row>
    <row r="120">
      <c r="C120" s="20"/>
      <c r="E120" s="21"/>
      <c r="H120" s="20" t="b">
        <v>0</v>
      </c>
      <c r="I120" s="22"/>
    </row>
    <row r="121">
      <c r="C121" s="20"/>
      <c r="E121" s="21"/>
      <c r="H121" s="20" t="b">
        <v>0</v>
      </c>
      <c r="I121" s="22"/>
    </row>
    <row r="122">
      <c r="C122" s="20"/>
      <c r="E122" s="21"/>
      <c r="H122" s="20" t="b">
        <v>0</v>
      </c>
      <c r="I122" s="22"/>
    </row>
    <row r="123">
      <c r="C123" s="20"/>
      <c r="E123" s="21"/>
      <c r="H123" s="20" t="b">
        <v>0</v>
      </c>
      <c r="I123" s="22"/>
    </row>
    <row r="124">
      <c r="C124" s="20"/>
      <c r="E124" s="21"/>
      <c r="H124" s="20" t="b">
        <v>0</v>
      </c>
      <c r="I124" s="22"/>
    </row>
    <row r="125">
      <c r="C125" s="20"/>
      <c r="E125" s="21"/>
      <c r="H125" s="20" t="b">
        <v>0</v>
      </c>
      <c r="I125" s="22"/>
    </row>
    <row r="126">
      <c r="C126" s="20"/>
      <c r="E126" s="21"/>
      <c r="H126" s="20" t="b">
        <v>0</v>
      </c>
      <c r="I126" s="22"/>
    </row>
    <row r="127">
      <c r="C127" s="20"/>
      <c r="E127" s="21"/>
      <c r="H127" s="20" t="b">
        <v>0</v>
      </c>
      <c r="I127" s="22"/>
    </row>
    <row r="128">
      <c r="C128" s="20"/>
      <c r="E128" s="21"/>
      <c r="H128" s="20" t="b">
        <v>0</v>
      </c>
      <c r="I128" s="22"/>
    </row>
    <row r="129">
      <c r="C129" s="20"/>
      <c r="E129" s="21"/>
      <c r="H129" s="20" t="b">
        <v>0</v>
      </c>
      <c r="I129" s="22"/>
    </row>
    <row r="130">
      <c r="C130" s="20"/>
      <c r="E130" s="21"/>
      <c r="H130" s="20" t="b">
        <v>0</v>
      </c>
      <c r="I130" s="22"/>
    </row>
    <row r="131">
      <c r="C131" s="20"/>
      <c r="E131" s="21"/>
      <c r="H131" s="20" t="b">
        <v>0</v>
      </c>
      <c r="I131" s="22"/>
    </row>
    <row r="132">
      <c r="C132" s="20"/>
      <c r="E132" s="21"/>
      <c r="H132" s="20" t="b">
        <v>0</v>
      </c>
      <c r="I132" s="22"/>
    </row>
    <row r="133">
      <c r="C133" s="20"/>
      <c r="E133" s="21"/>
      <c r="H133" s="20" t="b">
        <v>0</v>
      </c>
      <c r="I133" s="22"/>
    </row>
    <row r="134">
      <c r="C134" s="20"/>
      <c r="E134" s="21"/>
      <c r="H134" s="20" t="b">
        <v>0</v>
      </c>
      <c r="I134" s="22"/>
    </row>
    <row r="135">
      <c r="C135" s="20"/>
      <c r="E135" s="21"/>
      <c r="H135" s="20" t="b">
        <v>0</v>
      </c>
      <c r="I135" s="22"/>
    </row>
    <row r="136">
      <c r="C136" s="20"/>
      <c r="E136" s="21"/>
      <c r="H136" s="20" t="b">
        <v>0</v>
      </c>
      <c r="I136" s="22"/>
    </row>
    <row r="137">
      <c r="C137" s="20"/>
      <c r="E137" s="21"/>
      <c r="H137" s="20" t="b">
        <v>0</v>
      </c>
      <c r="I137" s="22"/>
    </row>
    <row r="138">
      <c r="C138" s="20"/>
      <c r="E138" s="21"/>
      <c r="H138" s="20" t="b">
        <v>0</v>
      </c>
      <c r="I138" s="22"/>
    </row>
    <row r="139">
      <c r="C139" s="20"/>
      <c r="E139" s="21"/>
      <c r="H139" s="20" t="b">
        <v>0</v>
      </c>
      <c r="I139" s="22"/>
    </row>
    <row r="140">
      <c r="C140" s="20"/>
      <c r="E140" s="21"/>
      <c r="H140" s="20" t="b">
        <v>0</v>
      </c>
      <c r="I140" s="22"/>
    </row>
    <row r="141">
      <c r="C141" s="20"/>
      <c r="E141" s="21"/>
      <c r="H141" s="20" t="b">
        <v>0</v>
      </c>
      <c r="I141" s="22"/>
    </row>
    <row r="142">
      <c r="C142" s="20"/>
      <c r="E142" s="21"/>
      <c r="H142" s="20" t="b">
        <v>0</v>
      </c>
      <c r="I142" s="22"/>
    </row>
    <row r="143">
      <c r="C143" s="20"/>
      <c r="E143" s="21"/>
      <c r="H143" s="20" t="b">
        <v>0</v>
      </c>
      <c r="I143" s="22"/>
    </row>
    <row r="144">
      <c r="C144" s="20"/>
      <c r="E144" s="21"/>
      <c r="H144" s="20" t="b">
        <v>0</v>
      </c>
      <c r="I144" s="22"/>
    </row>
    <row r="145">
      <c r="C145" s="20"/>
      <c r="E145" s="21"/>
      <c r="H145" s="20" t="b">
        <v>0</v>
      </c>
      <c r="I145" s="22"/>
    </row>
    <row r="146">
      <c r="C146" s="20"/>
      <c r="E146" s="21"/>
      <c r="H146" s="20" t="b">
        <v>0</v>
      </c>
      <c r="I146" s="22"/>
    </row>
    <row r="147">
      <c r="C147" s="20"/>
      <c r="E147" s="21"/>
      <c r="H147" s="20" t="b">
        <v>0</v>
      </c>
      <c r="I147" s="22"/>
    </row>
    <row r="148">
      <c r="C148" s="20"/>
      <c r="E148" s="21"/>
      <c r="H148" s="20" t="b">
        <v>0</v>
      </c>
      <c r="I148" s="22"/>
    </row>
    <row r="149">
      <c r="C149" s="20"/>
      <c r="E149" s="21"/>
      <c r="H149" s="20" t="b">
        <v>0</v>
      </c>
      <c r="I149" s="22"/>
    </row>
    <row r="150">
      <c r="C150" s="20"/>
      <c r="E150" s="21"/>
      <c r="H150" s="20" t="b">
        <v>0</v>
      </c>
      <c r="I150" s="22"/>
    </row>
    <row r="151">
      <c r="C151" s="20"/>
      <c r="E151" s="21"/>
      <c r="H151" s="20" t="b">
        <v>0</v>
      </c>
      <c r="I151" s="22"/>
    </row>
    <row r="152">
      <c r="C152" s="20"/>
      <c r="E152" s="21"/>
      <c r="H152" s="20" t="b">
        <v>0</v>
      </c>
      <c r="I152" s="22"/>
    </row>
    <row r="153">
      <c r="C153" s="20"/>
      <c r="E153" s="21"/>
      <c r="H153" s="20" t="b">
        <v>0</v>
      </c>
      <c r="I153" s="22"/>
    </row>
    <row r="154">
      <c r="C154" s="20"/>
      <c r="E154" s="21"/>
      <c r="H154" s="20" t="b">
        <v>0</v>
      </c>
      <c r="I154" s="22"/>
    </row>
    <row r="155">
      <c r="C155" s="20"/>
      <c r="E155" s="21"/>
      <c r="H155" s="20" t="b">
        <v>0</v>
      </c>
      <c r="I155" s="22"/>
    </row>
    <row r="156">
      <c r="C156" s="20"/>
      <c r="E156" s="21"/>
      <c r="H156" s="20" t="b">
        <v>0</v>
      </c>
      <c r="I156" s="22"/>
    </row>
    <row r="157">
      <c r="C157" s="20"/>
      <c r="E157" s="21"/>
      <c r="H157" s="20" t="b">
        <v>0</v>
      </c>
      <c r="I157" s="22"/>
    </row>
    <row r="158">
      <c r="C158" s="20"/>
      <c r="E158" s="21"/>
      <c r="H158" s="20" t="b">
        <v>0</v>
      </c>
      <c r="I158" s="22"/>
    </row>
    <row r="159">
      <c r="C159" s="20"/>
      <c r="E159" s="21"/>
      <c r="H159" s="20" t="b">
        <v>0</v>
      </c>
      <c r="I159" s="22"/>
    </row>
    <row r="160">
      <c r="C160" s="20"/>
      <c r="E160" s="21"/>
      <c r="H160" s="20" t="b">
        <v>0</v>
      </c>
      <c r="I160" s="22"/>
    </row>
    <row r="161">
      <c r="C161" s="20"/>
      <c r="E161" s="21"/>
      <c r="H161" s="20" t="b">
        <v>0</v>
      </c>
      <c r="I161" s="22"/>
    </row>
    <row r="162">
      <c r="C162" s="20"/>
      <c r="E162" s="21"/>
      <c r="H162" s="20" t="b">
        <v>0</v>
      </c>
      <c r="I162" s="22"/>
    </row>
    <row r="163">
      <c r="C163" s="20"/>
      <c r="E163" s="21"/>
      <c r="H163" s="20" t="b">
        <v>0</v>
      </c>
      <c r="I163" s="22"/>
    </row>
    <row r="164">
      <c r="C164" s="20"/>
      <c r="E164" s="21"/>
      <c r="H164" s="20" t="b">
        <v>0</v>
      </c>
      <c r="I164" s="22"/>
    </row>
    <row r="165">
      <c r="C165" s="20"/>
      <c r="E165" s="21"/>
      <c r="H165" s="20" t="b">
        <v>0</v>
      </c>
      <c r="I165" s="22"/>
    </row>
    <row r="166">
      <c r="C166" s="20"/>
      <c r="E166" s="21"/>
      <c r="H166" s="20" t="b">
        <v>0</v>
      </c>
      <c r="I166" s="22"/>
    </row>
    <row r="167">
      <c r="C167" s="20"/>
      <c r="E167" s="21"/>
      <c r="H167" s="20" t="b">
        <v>0</v>
      </c>
      <c r="I167" s="22"/>
    </row>
    <row r="168">
      <c r="C168" s="20"/>
      <c r="E168" s="21"/>
      <c r="H168" s="20" t="b">
        <v>0</v>
      </c>
      <c r="I168" s="22"/>
    </row>
    <row r="169">
      <c r="C169" s="20"/>
      <c r="E169" s="21"/>
      <c r="H169" s="20" t="b">
        <v>0</v>
      </c>
      <c r="I169" s="22"/>
    </row>
    <row r="170">
      <c r="C170" s="20"/>
      <c r="E170" s="21"/>
      <c r="H170" s="20" t="b">
        <v>0</v>
      </c>
      <c r="I170" s="22"/>
    </row>
    <row r="171">
      <c r="C171" s="20"/>
      <c r="E171" s="21"/>
      <c r="H171" s="20" t="b">
        <v>0</v>
      </c>
      <c r="I171" s="22"/>
    </row>
    <row r="172">
      <c r="C172" s="20"/>
      <c r="E172" s="21"/>
      <c r="H172" s="20" t="b">
        <v>0</v>
      </c>
      <c r="I172" s="22"/>
    </row>
    <row r="173">
      <c r="C173" s="20"/>
      <c r="E173" s="21"/>
      <c r="H173" s="20" t="b">
        <v>0</v>
      </c>
      <c r="I173" s="22"/>
    </row>
    <row r="174">
      <c r="C174" s="20"/>
      <c r="E174" s="21"/>
      <c r="H174" s="20" t="b">
        <v>0</v>
      </c>
      <c r="I174" s="22"/>
    </row>
    <row r="175">
      <c r="C175" s="20"/>
      <c r="E175" s="21"/>
      <c r="H175" s="20" t="b">
        <v>0</v>
      </c>
      <c r="I175" s="22"/>
    </row>
    <row r="176">
      <c r="C176" s="20"/>
      <c r="E176" s="21"/>
      <c r="H176" s="20" t="b">
        <v>0</v>
      </c>
      <c r="I176" s="22"/>
    </row>
    <row r="177">
      <c r="C177" s="20"/>
      <c r="E177" s="21"/>
      <c r="H177" s="20" t="b">
        <v>0</v>
      </c>
      <c r="I177" s="22"/>
    </row>
  </sheetData>
  <dataValidations>
    <dataValidation type="list" allowBlank="1" showErrorMessage="1" sqref="C78:C177">
      <formula1>"Ariel Morales,Carlos Puzzangara,Eugenio Casola,Facundo Herrera,Lucas Bolzon,Luis Cantini,Marco Bianchi,Marcos Amado,Nicolas Pura Nosti,Pedro Cueto,Sebastián Baldoni,Tomas Nasif,Yamil Barbara"</formula1>
    </dataValidation>
    <dataValidation type="list" allowBlank="1" sqref="C2:C77">
      <formula1>"Ariel Morales,Carlos Puzzangara,Eugenio Casola,Facundo Herrera,Lucas Bolzon,Luis Cantini,Marco Bianchi,Marcos Amado,Nicolas Pura Nosti,Pedro Cueto,Sebastián Baldoni,Tomas Nasif,Yamil Barbara,Leonardo Lallana,Facundo sanchez,Sebastián Baldoni,Ariel Morales"&amp;" ,Yamil Barbará,Valentin Lagar,Milenko Delgado Aranibar,Valentin Angulo,De Battista , Miguel Angel,Juan Carlos Castellano ,juan carlos castellano,Luis Cantini,Nicolas Pura Nosti,Carlos Puzzangara,Marcos Amado,Pablo Ferreyra Gomez,Nicolás Pura Nosti,PABLO "&amp;"FEREIRA,Ariel Morales,NICOLAS PURA NOSTI,PABLO FERREIRA ,Facundo Herrera"</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88"/>
    <col customWidth="1" min="3" max="3" width="8.5"/>
    <col customWidth="1" min="4" max="4" width="5.88"/>
    <col customWidth="1" min="5" max="5" width="9.0"/>
  </cols>
  <sheetData>
    <row r="1"/>
    <row r="2"/>
    <row r="3"/>
    <row r="4"/>
    <row r="5"/>
    <row r="6"/>
    <row r="7"/>
    <row r="8"/>
    <row r="9"/>
    <row r="10"/>
    <row r="11"/>
    <row r="12"/>
    <row r="13"/>
    <row r="14"/>
    <row r="15"/>
    <row r="16"/>
    <row r="17"/>
    <row r="18"/>
    <row r="19"/>
    <row r="20"/>
    <row r="21">
      <c r="G21" s="23" t="s">
        <v>127</v>
      </c>
    </row>
    <row r="22">
      <c r="G22" s="23" t="s">
        <v>125</v>
      </c>
      <c r="H22" s="20">
        <f>SUM(C3:C1000)</f>
        <v>65</v>
      </c>
    </row>
    <row r="23">
      <c r="G23" s="23" t="s">
        <v>10</v>
      </c>
      <c r="H23" s="20">
        <f>SUM(D3:D1000)</f>
        <v>11</v>
      </c>
    </row>
    <row r="24"/>
    <row r="25"/>
    <row r="26"/>
    <row r="27"/>
    <row r="28"/>
    <row r="29"/>
    <row r="30"/>
  </sheetData>
  <mergeCells count="1">
    <mergeCell ref="G21:H21"/>
  </mergeCell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